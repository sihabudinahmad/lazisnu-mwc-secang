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1"/>
  </bookViews>
  <sheets>
    <sheet name="koin ranting" sheetId="1" r:id="rId1"/>
    <sheet name="pengeluaran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29" i="2" l="1"/>
  <c r="F29" i="2"/>
  <c r="G27" i="2"/>
  <c r="H27" i="2"/>
  <c r="I27" i="2"/>
  <c r="J27" i="2"/>
  <c r="F27" i="2"/>
  <c r="E27" i="2"/>
  <c r="D26" i="2"/>
</calcChain>
</file>

<file path=xl/sharedStrings.xml><?xml version="1.0" encoding="utf-8"?>
<sst xmlns="http://schemas.openxmlformats.org/spreadsheetml/2006/main" count="97" uniqueCount="95">
  <si>
    <t>LAPORAN PENGHIMPUNAN</t>
  </si>
  <si>
    <t>KOIN NU UPZIS MWC SECANG</t>
  </si>
  <si>
    <t>PERIODE BULAN JANUARI TAHUN 2026</t>
  </si>
  <si>
    <t>No</t>
  </si>
  <si>
    <t xml:space="preserve">Nama Ranting </t>
  </si>
  <si>
    <t>Ketua Ranting</t>
  </si>
  <si>
    <t>Hasil Pengambilan</t>
  </si>
  <si>
    <t>Kotak Aktif</t>
  </si>
  <si>
    <t>Ujroh Pengambilan</t>
  </si>
  <si>
    <t>Hasil Bersih</t>
  </si>
  <si>
    <t>Bag PCNU 5%</t>
  </si>
  <si>
    <t>Bag MWCNU 25%</t>
  </si>
  <si>
    <t>Ops Ambulan 5%</t>
  </si>
  <si>
    <t>Bag Ranting 65%</t>
  </si>
  <si>
    <t>Pancuranmas</t>
  </si>
  <si>
    <t>FAUZI</t>
  </si>
  <si>
    <t>Candisari</t>
  </si>
  <si>
    <t>SHOLICHUDIN</t>
  </si>
  <si>
    <t>Pucang</t>
  </si>
  <si>
    <t>M.SHODIK</t>
  </si>
  <si>
    <t>Sidomulyo</t>
  </si>
  <si>
    <t>H.SUROSO</t>
  </si>
  <si>
    <t>Krincing</t>
  </si>
  <si>
    <t>M.KHALWANI</t>
  </si>
  <si>
    <t>Donomulyo</t>
  </si>
  <si>
    <t>FATUROCMAN</t>
  </si>
  <si>
    <t>Girikulon</t>
  </si>
  <si>
    <t>M.USULUDIN</t>
  </si>
  <si>
    <t>Kalijoso</t>
  </si>
  <si>
    <t>MUH.TABIIN</t>
  </si>
  <si>
    <t>Jambewangi</t>
  </si>
  <si>
    <t>HARSINI</t>
  </si>
  <si>
    <t>Ngabean</t>
  </si>
  <si>
    <t>ZAENAL</t>
  </si>
  <si>
    <t>Ngadirojo</t>
  </si>
  <si>
    <t>M.RIFAI</t>
  </si>
  <si>
    <t>Madusari</t>
  </si>
  <si>
    <t>MUNIF.A</t>
  </si>
  <si>
    <t>Payaman</t>
  </si>
  <si>
    <t>SAMSUL.F</t>
  </si>
  <si>
    <t>Secang</t>
  </si>
  <si>
    <t>SARMUJI</t>
  </si>
  <si>
    <t>Candiretno</t>
  </si>
  <si>
    <t>A.KHOLIQ</t>
  </si>
  <si>
    <t>Pirikan</t>
  </si>
  <si>
    <t>ROZALI USMAN</t>
  </si>
  <si>
    <t>Donorejo</t>
  </si>
  <si>
    <t>M FAIZIN</t>
  </si>
  <si>
    <t>Madyocondro</t>
  </si>
  <si>
    <t>M ASROR</t>
  </si>
  <si>
    <t>Karangkajen</t>
  </si>
  <si>
    <t>NUR HAMID</t>
  </si>
  <si>
    <t>Purwosari</t>
  </si>
  <si>
    <t>RIDWAN</t>
  </si>
  <si>
    <t>TOTAL</t>
  </si>
  <si>
    <t>Secang,     31 januari 2026</t>
  </si>
  <si>
    <t>Mengetahui,</t>
  </si>
  <si>
    <t>Ketua UpzisNu MWC Secang</t>
  </si>
  <si>
    <t>Bendahara 1</t>
  </si>
  <si>
    <t>Anwari</t>
  </si>
  <si>
    <t>Retno Eko S, SE</t>
  </si>
  <si>
    <t>Bensin ambil sayur 2x100.000</t>
  </si>
  <si>
    <t>Listrik Kantor (TF rek R)</t>
  </si>
  <si>
    <t>uang saku relawan aceh</t>
  </si>
  <si>
    <t>Donasi MI Pancuranmas</t>
  </si>
  <si>
    <t>Kalender 10xRp 11.000</t>
  </si>
  <si>
    <t>Rapat pengurus</t>
  </si>
  <si>
    <t>Kejurkab Pagar Nusa</t>
  </si>
  <si>
    <t>Rapat persiapan ramadhan</t>
  </si>
  <si>
    <t>seragam susulan taktikal</t>
  </si>
  <si>
    <t>Tranport raker  PC</t>
  </si>
  <si>
    <t>print out rek koran 25Lbr</t>
  </si>
  <si>
    <t>Paket data HP Lazis (rek R)</t>
  </si>
  <si>
    <t>TF P.Masrukhan uang banom,lembaga</t>
  </si>
  <si>
    <t xml:space="preserve">Mujahadah &amp; Pembekalan </t>
  </si>
  <si>
    <t>Bisaroh pemateri mujahadah</t>
  </si>
  <si>
    <t>Sosial Umroh KH Khudlori</t>
  </si>
  <si>
    <t>Plastik</t>
  </si>
  <si>
    <t>Piring/gelas/uborampe mujahadah</t>
  </si>
  <si>
    <t>Banner mujahadah</t>
  </si>
  <si>
    <t>bensin genset mujahadah</t>
  </si>
  <si>
    <t>Pengeluaran rek BRI</t>
  </si>
  <si>
    <t>Pengeluaran Rek R</t>
  </si>
  <si>
    <t>Pengeluaran Tunai</t>
  </si>
  <si>
    <t>Tanggal</t>
  </si>
  <si>
    <t>Keterangan</t>
  </si>
  <si>
    <t>Rekening Bank</t>
  </si>
  <si>
    <t>Tunai</t>
  </si>
  <si>
    <t>PENGELUARAN</t>
  </si>
  <si>
    <t>Pendidikan</t>
  </si>
  <si>
    <t>Kesehatan</t>
  </si>
  <si>
    <t>Sosial Agama</t>
  </si>
  <si>
    <t>Tanggap Bencana</t>
  </si>
  <si>
    <t>Op Lazis</t>
  </si>
  <si>
    <t>LP Ma'arif Untuk sokong MI pirikan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</si>
</sst>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-&quot;Rp&quot;* #,##0_-;\-&quot;Rp&quot;* #,##0_-;_-&quot;Rp&quot;* &quot;-&quot;_-;_-@_-"/>
  </numFmts>
  <fonts count="7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left"/>
    </xf>
    <xf numFmtId="42" fontId="3" fillId="0" borderId="1" xfId="0" applyNumberFormat="1" applyFont="1" applyBorder="1"/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2" fontId="5" fillId="0" borderId="1" xfId="0" applyNumberFormat="1" applyFont="1" applyBorder="1"/>
    <xf numFmtId="0" fontId="4" fillId="0" borderId="1" xfId="0" applyFont="1" applyBorder="1"/>
    <xf numFmtId="42" fontId="4" fillId="0" borderId="1" xfId="0" applyNumberFormat="1" applyFont="1" applyBorder="1"/>
    <xf numFmtId="1" fontId="4" fillId="0" borderId="1" xfId="0" applyNumberFormat="1" applyFont="1" applyBorder="1"/>
    <xf numFmtId="0" fontId="5" fillId="0" borderId="0" xfId="0" applyFont="1"/>
    <xf numFmtId="42" fontId="5" fillId="0" borderId="0" xfId="0" applyNumberFormat="1" applyFont="1" applyFill="1" applyBorder="1"/>
    <xf numFmtId="0" fontId="5" fillId="0" borderId="0" xfId="0" applyFont="1" applyAlignment="1">
      <alignment horizontal="right"/>
    </xf>
    <xf numFmtId="0" fontId="5" fillId="0" borderId="2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42" fontId="0" fillId="0" borderId="1" xfId="0" applyNumberFormat="1" applyBorder="1"/>
    <xf numFmtId="42" fontId="0" fillId="0" borderId="1" xfId="0" applyNumberFormat="1" applyFont="1" applyBorder="1"/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42" fontId="0" fillId="0" borderId="0" xfId="0" applyNumberFormat="1"/>
    <xf numFmtId="0" fontId="0" fillId="0" borderId="1" xfId="0" applyFill="1" applyBorder="1" applyAlignment="1">
      <alignment horizontal="center"/>
    </xf>
    <xf numFmtId="42" fontId="0" fillId="0" borderId="1" xfId="0" applyNumberFormat="1" applyFill="1" applyBorder="1"/>
    <xf numFmtId="42" fontId="6" fillId="0" borderId="1" xfId="0" applyNumberFormat="1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371475</xdr:colOff>
      <xdr:row>34</xdr:row>
      <xdr:rowOff>19050</xdr:rowOff>
    </xdr:from>
    <xdr:ext cx="1657351" cy="1149836"/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00" t="40691" r="35467" b="37537"/>
        <a:stretch/>
      </xdr:blipFill>
      <xdr:spPr>
        <a:xfrm>
          <a:off x="5219700" y="6524625"/>
          <a:ext cx="1657351" cy="1149836"/>
        </a:xfrm>
        <a:prstGeom prst="rect">
          <a:avLst/>
        </a:prstGeom>
      </xdr:spPr>
    </xdr:pic>
    <xdr:clientData/>
  </xdr:oneCellAnchor>
  <xdr:twoCellAnchor editAs="oneCell">
    <xdr:from>
      <xdr:col>8</xdr:col>
      <xdr:colOff>38100</xdr:colOff>
      <xdr:row>33</xdr:row>
      <xdr:rowOff>85725</xdr:rowOff>
    </xdr:from>
    <xdr:to>
      <xdr:col>8</xdr:col>
      <xdr:colOff>1066801</xdr:colOff>
      <xdr:row>40</xdr:row>
      <xdr:rowOff>73026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0" y="6400800"/>
          <a:ext cx="1028701" cy="1320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9"/>
  <sheetViews>
    <sheetView topLeftCell="A22" workbookViewId="0">
      <selection activeCell="B44" sqref="B44"/>
    </sheetView>
  </sheetViews>
  <sheetFormatPr defaultRowHeight="15" x14ac:dyDescent="0.25"/>
  <cols>
    <col min="2" max="2" width="15.7109375" bestFit="1" customWidth="1"/>
    <col min="3" max="3" width="16.140625" bestFit="1" customWidth="1"/>
    <col min="4" max="4" width="19.85546875" bestFit="1" customWidth="1"/>
    <col min="5" max="5" width="11.85546875" bestFit="1" customWidth="1"/>
    <col min="6" max="6" width="19.5703125" customWidth="1"/>
    <col min="7" max="7" width="19.42578125" customWidth="1"/>
    <col min="8" max="8" width="17.7109375" customWidth="1"/>
    <col min="9" max="9" width="18.42578125" customWidth="1"/>
    <col min="10" max="10" width="19.85546875" customWidth="1"/>
    <col min="11" max="11" width="18.42578125" bestFit="1" customWidth="1"/>
  </cols>
  <sheetData>
    <row r="2" spans="1:11" ht="15.75" x14ac:dyDescent="0.25">
      <c r="A2" s="19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1"/>
    </row>
    <row r="3" spans="1:11" ht="15.75" x14ac:dyDescent="0.25">
      <c r="A3" s="19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1"/>
    </row>
    <row r="4" spans="1:11" ht="15.75" x14ac:dyDescent="0.25">
      <c r="A4" s="19" t="s">
        <v>2</v>
      </c>
      <c r="B4" s="20"/>
      <c r="C4" s="20"/>
      <c r="D4" s="20"/>
      <c r="E4" s="20"/>
      <c r="F4" s="20"/>
      <c r="G4" s="20"/>
      <c r="H4" s="20"/>
      <c r="I4" s="20"/>
      <c r="J4" s="20"/>
      <c r="K4" s="1"/>
    </row>
    <row r="7" spans="1:11" x14ac:dyDescent="0.25">
      <c r="A7" s="3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7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  <c r="G8" s="7" t="s">
        <v>9</v>
      </c>
      <c r="H8" s="7" t="s">
        <v>10</v>
      </c>
      <c r="I8" s="7" t="s">
        <v>11</v>
      </c>
      <c r="J8" s="7" t="s">
        <v>12</v>
      </c>
      <c r="K8" s="7" t="s">
        <v>13</v>
      </c>
    </row>
    <row r="9" spans="1:11" x14ac:dyDescent="0.25">
      <c r="A9" s="8">
        <v>1</v>
      </c>
      <c r="B9" s="8">
        <v>2</v>
      </c>
      <c r="C9" s="8">
        <v>3</v>
      </c>
      <c r="D9" s="8">
        <v>4</v>
      </c>
      <c r="E9" s="8">
        <v>5</v>
      </c>
      <c r="F9" s="8">
        <v>6</v>
      </c>
      <c r="G9" s="8">
        <v>7</v>
      </c>
      <c r="H9" s="8">
        <v>8</v>
      </c>
      <c r="I9" s="8">
        <v>9</v>
      </c>
      <c r="J9" s="8">
        <v>10</v>
      </c>
      <c r="K9" s="8">
        <v>11</v>
      </c>
    </row>
    <row r="10" spans="1:11" x14ac:dyDescent="0.25">
      <c r="A10" s="9">
        <v>1</v>
      </c>
      <c r="B10" s="10" t="s">
        <v>14</v>
      </c>
      <c r="C10" s="18" t="s">
        <v>15</v>
      </c>
      <c r="D10" s="5">
        <v>3937000</v>
      </c>
      <c r="E10" s="6">
        <v>293</v>
      </c>
      <c r="F10" s="5">
        <v>293000</v>
      </c>
      <c r="G10" s="11">
        <v>3644000</v>
      </c>
      <c r="H10" s="11">
        <v>182200</v>
      </c>
      <c r="I10" s="11">
        <v>911000</v>
      </c>
      <c r="J10" s="11">
        <v>182200</v>
      </c>
      <c r="K10" s="11">
        <v>2368600</v>
      </c>
    </row>
    <row r="11" spans="1:11" x14ac:dyDescent="0.25">
      <c r="A11" s="9">
        <v>2</v>
      </c>
      <c r="B11" s="10" t="s">
        <v>16</v>
      </c>
      <c r="C11" s="18" t="s">
        <v>17</v>
      </c>
      <c r="D11" s="5">
        <v>3696000</v>
      </c>
      <c r="E11" s="6">
        <v>346</v>
      </c>
      <c r="F11" s="5">
        <v>346000</v>
      </c>
      <c r="G11" s="11">
        <v>3350000</v>
      </c>
      <c r="H11" s="11">
        <v>167500</v>
      </c>
      <c r="I11" s="11">
        <v>837500</v>
      </c>
      <c r="J11" s="11">
        <v>167500</v>
      </c>
      <c r="K11" s="11">
        <v>2177500</v>
      </c>
    </row>
    <row r="12" spans="1:11" x14ac:dyDescent="0.25">
      <c r="A12" s="9">
        <v>3</v>
      </c>
      <c r="B12" s="10" t="s">
        <v>18</v>
      </c>
      <c r="C12" s="18" t="s">
        <v>19</v>
      </c>
      <c r="D12" s="5">
        <v>2712900</v>
      </c>
      <c r="E12" s="6">
        <v>301</v>
      </c>
      <c r="F12" s="5">
        <v>301000</v>
      </c>
      <c r="G12" s="11">
        <v>2411900</v>
      </c>
      <c r="H12" s="11">
        <v>120595</v>
      </c>
      <c r="I12" s="11">
        <v>602975</v>
      </c>
      <c r="J12" s="11">
        <v>120595</v>
      </c>
      <c r="K12" s="11">
        <v>1567735</v>
      </c>
    </row>
    <row r="13" spans="1:11" x14ac:dyDescent="0.25">
      <c r="A13" s="9">
        <v>4</v>
      </c>
      <c r="B13" s="10" t="s">
        <v>20</v>
      </c>
      <c r="C13" s="18" t="s">
        <v>21</v>
      </c>
      <c r="D13" s="5">
        <v>2167600</v>
      </c>
      <c r="E13" s="6">
        <v>311</v>
      </c>
      <c r="F13" s="5">
        <v>311000</v>
      </c>
      <c r="G13" s="11">
        <v>1856600</v>
      </c>
      <c r="H13" s="11">
        <v>92830</v>
      </c>
      <c r="I13" s="11">
        <v>464150</v>
      </c>
      <c r="J13" s="11">
        <v>92830</v>
      </c>
      <c r="K13" s="11">
        <v>1206790</v>
      </c>
    </row>
    <row r="14" spans="1:11" x14ac:dyDescent="0.25">
      <c r="A14" s="9">
        <v>5</v>
      </c>
      <c r="B14" s="10" t="s">
        <v>22</v>
      </c>
      <c r="C14" s="18" t="s">
        <v>23</v>
      </c>
      <c r="D14" s="5">
        <v>5693700</v>
      </c>
      <c r="E14" s="6">
        <v>381</v>
      </c>
      <c r="F14" s="5">
        <v>381000</v>
      </c>
      <c r="G14" s="11">
        <v>5312700</v>
      </c>
      <c r="H14" s="11">
        <v>265635</v>
      </c>
      <c r="I14" s="11">
        <v>1328175</v>
      </c>
      <c r="J14" s="11">
        <v>265635</v>
      </c>
      <c r="K14" s="11">
        <v>3453255</v>
      </c>
    </row>
    <row r="15" spans="1:11" x14ac:dyDescent="0.25">
      <c r="A15" s="9">
        <v>6</v>
      </c>
      <c r="B15" s="10" t="s">
        <v>24</v>
      </c>
      <c r="C15" s="18" t="s">
        <v>25</v>
      </c>
      <c r="D15" s="5">
        <v>2880000</v>
      </c>
      <c r="E15" s="6">
        <v>214</v>
      </c>
      <c r="F15" s="5">
        <v>214000</v>
      </c>
      <c r="G15" s="11">
        <v>2666000</v>
      </c>
      <c r="H15" s="11">
        <v>133300</v>
      </c>
      <c r="I15" s="11">
        <v>666500</v>
      </c>
      <c r="J15" s="11">
        <v>133300</v>
      </c>
      <c r="K15" s="11">
        <v>1732900</v>
      </c>
    </row>
    <row r="16" spans="1:11" x14ac:dyDescent="0.25">
      <c r="A16" s="9">
        <v>7</v>
      </c>
      <c r="B16" s="10" t="s">
        <v>26</v>
      </c>
      <c r="C16" s="18" t="s">
        <v>27</v>
      </c>
      <c r="D16" s="5">
        <v>1750000</v>
      </c>
      <c r="E16" s="6">
        <v>150</v>
      </c>
      <c r="F16" s="5">
        <v>150000</v>
      </c>
      <c r="G16" s="11">
        <v>1600000</v>
      </c>
      <c r="H16" s="11">
        <v>80000</v>
      </c>
      <c r="I16" s="11">
        <v>400000</v>
      </c>
      <c r="J16" s="11">
        <v>80000</v>
      </c>
      <c r="K16" s="11">
        <v>1040000</v>
      </c>
    </row>
    <row r="17" spans="1:11" x14ac:dyDescent="0.25">
      <c r="A17" s="9">
        <v>8</v>
      </c>
      <c r="B17" s="10" t="s">
        <v>28</v>
      </c>
      <c r="C17" s="18" t="s">
        <v>29</v>
      </c>
      <c r="D17" s="5">
        <v>5709400</v>
      </c>
      <c r="E17" s="6">
        <v>422</v>
      </c>
      <c r="F17" s="5">
        <v>422000</v>
      </c>
      <c r="G17" s="11">
        <v>5287400</v>
      </c>
      <c r="H17" s="11">
        <v>264370</v>
      </c>
      <c r="I17" s="11">
        <v>1321850</v>
      </c>
      <c r="J17" s="11">
        <v>264370</v>
      </c>
      <c r="K17" s="11">
        <v>3436810</v>
      </c>
    </row>
    <row r="18" spans="1:11" x14ac:dyDescent="0.25">
      <c r="A18" s="9">
        <v>9</v>
      </c>
      <c r="B18" s="10" t="s">
        <v>30</v>
      </c>
      <c r="C18" s="18" t="s">
        <v>31</v>
      </c>
      <c r="D18" s="5">
        <v>1026000</v>
      </c>
      <c r="E18" s="6">
        <v>26</v>
      </c>
      <c r="F18" s="5">
        <v>26000</v>
      </c>
      <c r="G18" s="11">
        <v>1000000</v>
      </c>
      <c r="H18" s="11">
        <v>50000</v>
      </c>
      <c r="I18" s="11">
        <v>250000</v>
      </c>
      <c r="J18" s="11">
        <v>50000</v>
      </c>
      <c r="K18" s="11">
        <v>650000</v>
      </c>
    </row>
    <row r="19" spans="1:11" x14ac:dyDescent="0.25">
      <c r="A19" s="9">
        <v>10</v>
      </c>
      <c r="B19" s="10" t="s">
        <v>32</v>
      </c>
      <c r="C19" s="18" t="s">
        <v>33</v>
      </c>
      <c r="D19" s="5">
        <v>2955000</v>
      </c>
      <c r="E19" s="6">
        <v>310</v>
      </c>
      <c r="F19" s="5">
        <v>310000</v>
      </c>
      <c r="G19" s="11">
        <v>2645000</v>
      </c>
      <c r="H19" s="11">
        <v>132250</v>
      </c>
      <c r="I19" s="11">
        <v>661250</v>
      </c>
      <c r="J19" s="11">
        <v>132250</v>
      </c>
      <c r="K19" s="11">
        <v>1719250</v>
      </c>
    </row>
    <row r="20" spans="1:11" x14ac:dyDescent="0.25">
      <c r="A20" s="9">
        <v>11</v>
      </c>
      <c r="B20" s="10" t="s">
        <v>34</v>
      </c>
      <c r="C20" s="18" t="s">
        <v>35</v>
      </c>
      <c r="D20" s="5">
        <v>2321000</v>
      </c>
      <c r="E20" s="6">
        <v>125</v>
      </c>
      <c r="F20" s="5">
        <v>125000</v>
      </c>
      <c r="G20" s="11">
        <v>2196000</v>
      </c>
      <c r="H20" s="11">
        <v>109800</v>
      </c>
      <c r="I20" s="11">
        <v>549000</v>
      </c>
      <c r="J20" s="11">
        <v>109800</v>
      </c>
      <c r="K20" s="11">
        <v>1427400</v>
      </c>
    </row>
    <row r="21" spans="1:11" x14ac:dyDescent="0.25">
      <c r="A21" s="9">
        <v>12</v>
      </c>
      <c r="B21" s="10" t="s">
        <v>36</v>
      </c>
      <c r="C21" s="18" t="s">
        <v>37</v>
      </c>
      <c r="D21" s="5">
        <v>4635200</v>
      </c>
      <c r="E21" s="6">
        <v>378</v>
      </c>
      <c r="F21" s="5">
        <v>378000</v>
      </c>
      <c r="G21" s="11">
        <v>4257200</v>
      </c>
      <c r="H21" s="11">
        <v>212860</v>
      </c>
      <c r="I21" s="11">
        <v>1064300</v>
      </c>
      <c r="J21" s="11">
        <v>212860</v>
      </c>
      <c r="K21" s="11">
        <v>2767180</v>
      </c>
    </row>
    <row r="22" spans="1:11" x14ac:dyDescent="0.25">
      <c r="A22" s="9">
        <v>13</v>
      </c>
      <c r="B22" s="10" t="s">
        <v>38</v>
      </c>
      <c r="C22" s="18" t="s">
        <v>39</v>
      </c>
      <c r="D22" s="5">
        <v>16686700</v>
      </c>
      <c r="E22" s="6">
        <v>802</v>
      </c>
      <c r="F22" s="5">
        <v>802000</v>
      </c>
      <c r="G22" s="11">
        <v>15884700</v>
      </c>
      <c r="H22" s="11">
        <v>794235</v>
      </c>
      <c r="I22" s="11">
        <v>3971175</v>
      </c>
      <c r="J22" s="11">
        <v>794235</v>
      </c>
      <c r="K22" s="11">
        <v>10325055</v>
      </c>
    </row>
    <row r="23" spans="1:11" x14ac:dyDescent="0.25">
      <c r="A23" s="9">
        <v>14</v>
      </c>
      <c r="B23" s="10" t="s">
        <v>40</v>
      </c>
      <c r="C23" s="18" t="s">
        <v>41</v>
      </c>
      <c r="D23" s="5">
        <v>4104000</v>
      </c>
      <c r="E23" s="6">
        <v>456</v>
      </c>
      <c r="F23" s="5">
        <v>456000</v>
      </c>
      <c r="G23" s="11">
        <v>3648000</v>
      </c>
      <c r="H23" s="11">
        <v>182400</v>
      </c>
      <c r="I23" s="11">
        <v>912000</v>
      </c>
      <c r="J23" s="11">
        <v>182400</v>
      </c>
      <c r="K23" s="11">
        <v>2371200</v>
      </c>
    </row>
    <row r="24" spans="1:11" x14ac:dyDescent="0.25">
      <c r="A24" s="9">
        <v>15</v>
      </c>
      <c r="B24" s="10" t="s">
        <v>42</v>
      </c>
      <c r="C24" s="18" t="s">
        <v>43</v>
      </c>
      <c r="D24" s="5">
        <v>4893700</v>
      </c>
      <c r="E24" s="6">
        <v>518</v>
      </c>
      <c r="F24" s="5">
        <v>518000</v>
      </c>
      <c r="G24" s="11">
        <v>4375700</v>
      </c>
      <c r="H24" s="11">
        <v>218785</v>
      </c>
      <c r="I24" s="11">
        <v>1093925</v>
      </c>
      <c r="J24" s="11">
        <v>218785</v>
      </c>
      <c r="K24" s="11">
        <v>2844205</v>
      </c>
    </row>
    <row r="25" spans="1:11" x14ac:dyDescent="0.25">
      <c r="A25" s="9">
        <v>16</v>
      </c>
      <c r="B25" s="10" t="s">
        <v>44</v>
      </c>
      <c r="C25" s="18" t="s">
        <v>45</v>
      </c>
      <c r="D25" s="5">
        <v>4150000</v>
      </c>
      <c r="E25" s="6">
        <v>362</v>
      </c>
      <c r="F25" s="5">
        <v>362000</v>
      </c>
      <c r="G25" s="11">
        <v>3788000</v>
      </c>
      <c r="H25" s="11">
        <v>189400</v>
      </c>
      <c r="I25" s="11">
        <v>947000</v>
      </c>
      <c r="J25" s="11">
        <v>189400</v>
      </c>
      <c r="K25" s="11">
        <v>2462200</v>
      </c>
    </row>
    <row r="26" spans="1:11" x14ac:dyDescent="0.25">
      <c r="A26" s="9">
        <v>17</v>
      </c>
      <c r="B26" s="10" t="s">
        <v>46</v>
      </c>
      <c r="C26" s="18" t="s">
        <v>47</v>
      </c>
      <c r="D26" s="5">
        <v>3582000</v>
      </c>
      <c r="E26" s="6">
        <v>210</v>
      </c>
      <c r="F26" s="5">
        <v>210000</v>
      </c>
      <c r="G26" s="11">
        <v>3372000</v>
      </c>
      <c r="H26" s="11">
        <v>168600</v>
      </c>
      <c r="I26" s="11">
        <v>843000</v>
      </c>
      <c r="J26" s="11">
        <v>168600</v>
      </c>
      <c r="K26" s="11">
        <v>2191800</v>
      </c>
    </row>
    <row r="27" spans="1:11" x14ac:dyDescent="0.25">
      <c r="A27" s="9">
        <v>18</v>
      </c>
      <c r="B27" s="10" t="s">
        <v>48</v>
      </c>
      <c r="C27" s="18" t="s">
        <v>49</v>
      </c>
      <c r="D27" s="5"/>
      <c r="E27" s="6"/>
      <c r="F27" s="5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</row>
    <row r="28" spans="1:11" x14ac:dyDescent="0.25">
      <c r="A28" s="9">
        <v>19</v>
      </c>
      <c r="B28" s="10" t="s">
        <v>50</v>
      </c>
      <c r="C28" s="4" t="s">
        <v>51</v>
      </c>
      <c r="D28" s="5"/>
      <c r="E28" s="6"/>
      <c r="F28" s="5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</row>
    <row r="29" spans="1:11" x14ac:dyDescent="0.25">
      <c r="A29" s="9">
        <v>20</v>
      </c>
      <c r="B29" s="10" t="s">
        <v>52</v>
      </c>
      <c r="C29" s="4" t="s">
        <v>53</v>
      </c>
      <c r="D29" s="5"/>
      <c r="E29" s="6"/>
      <c r="F29" s="5">
        <v>0</v>
      </c>
      <c r="G29" s="11"/>
      <c r="H29" s="11"/>
      <c r="I29" s="11"/>
      <c r="J29" s="11"/>
      <c r="K29" s="11"/>
    </row>
    <row r="30" spans="1:11" x14ac:dyDescent="0.25">
      <c r="A30" s="10"/>
      <c r="B30" s="12" t="s">
        <v>54</v>
      </c>
      <c r="C30" s="12"/>
      <c r="D30" s="13">
        <v>72900200</v>
      </c>
      <c r="E30" s="14">
        <v>5605</v>
      </c>
      <c r="F30" s="13">
        <v>5605000</v>
      </c>
      <c r="G30" s="13">
        <v>67295200</v>
      </c>
      <c r="H30" s="13">
        <v>3364760</v>
      </c>
      <c r="I30" s="13">
        <v>16823800</v>
      </c>
      <c r="J30" s="13">
        <v>3364760</v>
      </c>
      <c r="K30" s="13">
        <v>43741880</v>
      </c>
    </row>
    <row r="31" spans="1:11" x14ac:dyDescent="0.25">
      <c r="A31" s="15"/>
      <c r="B31" s="15"/>
      <c r="C31" s="15"/>
      <c r="D31" s="16"/>
      <c r="E31" s="15"/>
      <c r="F31" s="15"/>
      <c r="G31" s="15"/>
      <c r="H31" s="15"/>
      <c r="I31" s="15"/>
      <c r="J31" s="15"/>
      <c r="K31" s="15"/>
    </row>
    <row r="32" spans="1:11" x14ac:dyDescent="0.25">
      <c r="A32" s="15"/>
      <c r="B32" s="15"/>
      <c r="C32" s="15"/>
      <c r="D32" s="16"/>
      <c r="E32" s="15"/>
      <c r="F32" s="15"/>
      <c r="G32" s="15"/>
      <c r="H32" s="15"/>
      <c r="I32" s="15" t="s">
        <v>55</v>
      </c>
      <c r="J32" s="15"/>
      <c r="K32" s="15"/>
    </row>
    <row r="33" spans="1:11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</row>
    <row r="34" spans="1:11" x14ac:dyDescent="0.25">
      <c r="A34" s="15"/>
      <c r="B34" s="15"/>
      <c r="C34" s="15"/>
      <c r="D34" s="15"/>
      <c r="E34" s="15"/>
      <c r="F34" s="15"/>
      <c r="G34" s="15"/>
      <c r="H34" s="15"/>
      <c r="I34" s="15" t="s">
        <v>56</v>
      </c>
      <c r="J34" s="15"/>
      <c r="K34" s="15"/>
    </row>
    <row r="35" spans="1:11" x14ac:dyDescent="0.25">
      <c r="A35" s="15"/>
      <c r="B35" s="15"/>
      <c r="C35" s="15"/>
      <c r="D35" s="15"/>
      <c r="E35" s="15"/>
      <c r="F35" s="15" t="s">
        <v>57</v>
      </c>
      <c r="G35" s="15"/>
      <c r="H35" s="15"/>
      <c r="I35" s="15" t="s">
        <v>58</v>
      </c>
      <c r="J35" s="15"/>
      <c r="K35" s="15"/>
    </row>
    <row r="36" spans="1:11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</row>
    <row r="37" spans="1:11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</row>
    <row r="38" spans="1:11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</row>
    <row r="39" spans="1:11" x14ac:dyDescent="0.25">
      <c r="A39" s="15"/>
      <c r="B39" s="15"/>
      <c r="C39" s="15"/>
      <c r="D39" s="15"/>
      <c r="E39" s="15"/>
      <c r="F39" s="17" t="s">
        <v>59</v>
      </c>
      <c r="G39" s="15"/>
      <c r="H39" s="15"/>
      <c r="I39" s="15" t="s">
        <v>60</v>
      </c>
      <c r="J39" s="15"/>
      <c r="K39" s="15"/>
    </row>
  </sheetData>
  <mergeCells count="3">
    <mergeCell ref="A2:J2"/>
    <mergeCell ref="A3:J3"/>
    <mergeCell ref="A4:J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workbookViewId="0">
      <selection activeCell="E33" sqref="E33"/>
    </sheetView>
  </sheetViews>
  <sheetFormatPr defaultRowHeight="15" x14ac:dyDescent="0.25"/>
  <cols>
    <col min="2" max="2" width="10.7109375" bestFit="1" customWidth="1"/>
    <col min="3" max="3" width="36.5703125" bestFit="1" customWidth="1"/>
    <col min="4" max="4" width="15.42578125" customWidth="1"/>
    <col min="5" max="5" width="15.28515625" customWidth="1"/>
    <col min="6" max="6" width="15.85546875" customWidth="1"/>
    <col min="7" max="7" width="13.85546875" customWidth="1"/>
    <col min="8" max="8" width="14.85546875" customWidth="1"/>
    <col min="9" max="9" width="16.42578125" customWidth="1"/>
    <col min="10" max="10" width="13.5703125" customWidth="1"/>
  </cols>
  <sheetData>
    <row r="1" spans="1:10" s="1" customFormat="1" x14ac:dyDescent="0.25">
      <c r="A1" s="1" t="s">
        <v>88</v>
      </c>
    </row>
    <row r="2" spans="1:10" x14ac:dyDescent="0.25">
      <c r="A2" s="21" t="s">
        <v>3</v>
      </c>
      <c r="B2" s="21" t="s">
        <v>84</v>
      </c>
      <c r="C2" s="21" t="s">
        <v>85</v>
      </c>
      <c r="D2" s="21" t="s">
        <v>86</v>
      </c>
      <c r="E2" s="21" t="s">
        <v>87</v>
      </c>
      <c r="F2" s="30" t="s">
        <v>90</v>
      </c>
      <c r="G2" s="30" t="s">
        <v>89</v>
      </c>
      <c r="H2" s="30" t="s">
        <v>91</v>
      </c>
      <c r="I2" s="30" t="s">
        <v>92</v>
      </c>
      <c r="J2" s="30" t="s">
        <v>93</v>
      </c>
    </row>
    <row r="3" spans="1:10" x14ac:dyDescent="0.25">
      <c r="A3" s="21">
        <v>1</v>
      </c>
      <c r="B3" s="22">
        <v>46028</v>
      </c>
      <c r="C3" s="23" t="s">
        <v>94</v>
      </c>
      <c r="D3" s="23"/>
      <c r="E3" s="24">
        <v>1000000</v>
      </c>
      <c r="F3" s="23"/>
      <c r="G3" s="24">
        <v>1000000</v>
      </c>
      <c r="H3" s="23"/>
      <c r="I3" s="23"/>
      <c r="J3" s="23"/>
    </row>
    <row r="4" spans="1:10" x14ac:dyDescent="0.25">
      <c r="A4" s="21">
        <v>2</v>
      </c>
      <c r="B4" s="22">
        <v>46028</v>
      </c>
      <c r="C4" s="23" t="s">
        <v>61</v>
      </c>
      <c r="D4" s="23"/>
      <c r="E4" s="24">
        <v>200000</v>
      </c>
      <c r="F4" s="23"/>
      <c r="G4" s="23"/>
      <c r="H4" s="23"/>
      <c r="I4" s="23"/>
      <c r="J4" s="24">
        <v>200000</v>
      </c>
    </row>
    <row r="5" spans="1:10" x14ac:dyDescent="0.25">
      <c r="A5" s="21">
        <v>3</v>
      </c>
      <c r="B5" s="22">
        <v>46030</v>
      </c>
      <c r="C5" s="23" t="s">
        <v>62</v>
      </c>
      <c r="D5" s="24">
        <v>190638</v>
      </c>
      <c r="E5" s="24"/>
      <c r="F5" s="23"/>
      <c r="G5" s="23"/>
      <c r="H5" s="23"/>
      <c r="I5" s="23"/>
      <c r="J5" s="24">
        <v>190638</v>
      </c>
    </row>
    <row r="6" spans="1:10" x14ac:dyDescent="0.25">
      <c r="A6" s="21">
        <v>5</v>
      </c>
      <c r="B6" s="22">
        <v>46028</v>
      </c>
      <c r="C6" s="23" t="s">
        <v>63</v>
      </c>
      <c r="D6" s="23"/>
      <c r="E6" s="24">
        <v>500000</v>
      </c>
      <c r="F6" s="23"/>
      <c r="G6" s="23"/>
      <c r="H6" s="23"/>
      <c r="I6" s="24">
        <v>500000</v>
      </c>
      <c r="J6" s="23"/>
    </row>
    <row r="7" spans="1:10" x14ac:dyDescent="0.25">
      <c r="A7" s="21">
        <v>7</v>
      </c>
      <c r="B7" s="22">
        <v>46033</v>
      </c>
      <c r="C7" s="23" t="s">
        <v>64</v>
      </c>
      <c r="D7" s="23"/>
      <c r="E7" s="24">
        <v>1500000</v>
      </c>
      <c r="F7" s="23"/>
      <c r="G7" s="24">
        <v>1500000</v>
      </c>
      <c r="H7" s="23"/>
      <c r="I7" s="23"/>
      <c r="J7" s="23"/>
    </row>
    <row r="8" spans="1:10" x14ac:dyDescent="0.25">
      <c r="A8" s="21">
        <v>8</v>
      </c>
      <c r="B8" s="22">
        <v>46034</v>
      </c>
      <c r="C8" s="23" t="s">
        <v>65</v>
      </c>
      <c r="D8" s="23"/>
      <c r="E8" s="24">
        <v>110000</v>
      </c>
      <c r="F8" s="23"/>
      <c r="G8" s="23"/>
      <c r="H8" s="23"/>
      <c r="I8" s="23"/>
      <c r="J8" s="24">
        <v>110000</v>
      </c>
    </row>
    <row r="9" spans="1:10" x14ac:dyDescent="0.25">
      <c r="A9" s="21">
        <v>9</v>
      </c>
      <c r="B9" s="22">
        <v>46035</v>
      </c>
      <c r="C9" s="23" t="s">
        <v>66</v>
      </c>
      <c r="D9" s="23"/>
      <c r="E9" s="24">
        <v>200000</v>
      </c>
      <c r="F9" s="23"/>
      <c r="G9" s="23"/>
      <c r="H9" s="23"/>
      <c r="I9" s="23"/>
      <c r="J9" s="24">
        <v>200000</v>
      </c>
    </row>
    <row r="10" spans="1:10" x14ac:dyDescent="0.25">
      <c r="A10" s="21">
        <v>10</v>
      </c>
      <c r="B10" s="22">
        <v>46045</v>
      </c>
      <c r="C10" s="23" t="s">
        <v>67</v>
      </c>
      <c r="D10" s="23"/>
      <c r="E10" s="24">
        <v>1500000</v>
      </c>
      <c r="F10" s="23"/>
      <c r="G10" s="24">
        <v>1500000</v>
      </c>
      <c r="H10" s="23"/>
      <c r="I10" s="23"/>
      <c r="J10" s="23"/>
    </row>
    <row r="11" spans="1:10" x14ac:dyDescent="0.25">
      <c r="A11" s="21">
        <v>11</v>
      </c>
      <c r="B11" s="22">
        <v>46045</v>
      </c>
      <c r="C11" s="23" t="s">
        <v>68</v>
      </c>
      <c r="D11" s="23"/>
      <c r="E11" s="24">
        <v>85000</v>
      </c>
      <c r="F11" s="23"/>
      <c r="G11" s="23"/>
      <c r="H11" s="23"/>
      <c r="I11" s="23"/>
      <c r="J11" s="24">
        <v>85000</v>
      </c>
    </row>
    <row r="12" spans="1:10" x14ac:dyDescent="0.25">
      <c r="A12" s="21">
        <v>12</v>
      </c>
      <c r="B12" s="22">
        <v>46046</v>
      </c>
      <c r="C12" s="23" t="s">
        <v>69</v>
      </c>
      <c r="D12" s="23"/>
      <c r="E12" s="24">
        <v>200000</v>
      </c>
      <c r="F12" s="23"/>
      <c r="G12" s="23"/>
      <c r="H12" s="23"/>
      <c r="I12" s="23"/>
      <c r="J12" s="24">
        <v>200000</v>
      </c>
    </row>
    <row r="13" spans="1:10" x14ac:dyDescent="0.25">
      <c r="A13" s="21">
        <v>13</v>
      </c>
      <c r="B13" s="22">
        <v>46046</v>
      </c>
      <c r="C13" s="23" t="s">
        <v>70</v>
      </c>
      <c r="D13" s="24"/>
      <c r="E13" s="24">
        <v>160000</v>
      </c>
      <c r="F13" s="23"/>
      <c r="G13" s="23"/>
      <c r="H13" s="23"/>
      <c r="I13" s="23"/>
      <c r="J13" s="24">
        <v>160000</v>
      </c>
    </row>
    <row r="14" spans="1:10" x14ac:dyDescent="0.25">
      <c r="A14" s="21">
        <v>14</v>
      </c>
      <c r="B14" s="22">
        <v>46048</v>
      </c>
      <c r="C14" s="23" t="s">
        <v>71</v>
      </c>
      <c r="D14" s="24"/>
      <c r="E14" s="24">
        <v>125000</v>
      </c>
      <c r="F14" s="23"/>
      <c r="G14" s="23"/>
      <c r="H14" s="23"/>
      <c r="I14" s="23"/>
      <c r="J14" s="24">
        <v>125000</v>
      </c>
    </row>
    <row r="15" spans="1:10" x14ac:dyDescent="0.25">
      <c r="A15" s="21">
        <v>15</v>
      </c>
      <c r="B15" s="22">
        <v>46048</v>
      </c>
      <c r="C15" s="23" t="s">
        <v>72</v>
      </c>
      <c r="D15" s="24">
        <v>31500</v>
      </c>
      <c r="E15" s="24"/>
      <c r="F15" s="23"/>
      <c r="G15" s="23"/>
      <c r="H15" s="23"/>
      <c r="I15" s="23"/>
      <c r="J15" s="24">
        <v>31500</v>
      </c>
    </row>
    <row r="16" spans="1:10" x14ac:dyDescent="0.25">
      <c r="A16" s="21">
        <v>16</v>
      </c>
      <c r="B16" s="22">
        <v>46048</v>
      </c>
      <c r="C16" s="25" t="s">
        <v>73</v>
      </c>
      <c r="D16" s="24">
        <v>25000000</v>
      </c>
      <c r="E16" s="24"/>
      <c r="F16" s="31">
        <v>9000000</v>
      </c>
      <c r="G16" s="31">
        <v>8000000</v>
      </c>
      <c r="H16" s="31">
        <v>8000000</v>
      </c>
      <c r="I16" s="23"/>
      <c r="J16" s="23"/>
    </row>
    <row r="17" spans="1:10" x14ac:dyDescent="0.25">
      <c r="A17" s="21">
        <v>17</v>
      </c>
      <c r="B17" s="22">
        <v>46052</v>
      </c>
      <c r="C17" s="23" t="s">
        <v>74</v>
      </c>
      <c r="D17" s="24"/>
      <c r="E17" s="24">
        <v>1440000</v>
      </c>
      <c r="F17" s="23"/>
      <c r="G17" s="23"/>
      <c r="H17" s="24">
        <v>1440000</v>
      </c>
      <c r="I17" s="23"/>
      <c r="J17" s="23"/>
    </row>
    <row r="18" spans="1:10" x14ac:dyDescent="0.25">
      <c r="A18" s="21">
        <v>18</v>
      </c>
      <c r="B18" s="22">
        <v>46052</v>
      </c>
      <c r="C18" s="23" t="s">
        <v>75</v>
      </c>
      <c r="D18" s="24"/>
      <c r="E18" s="24">
        <v>200000</v>
      </c>
      <c r="F18" s="23"/>
      <c r="G18" s="23"/>
      <c r="H18" s="24">
        <v>200000</v>
      </c>
      <c r="I18" s="23"/>
      <c r="J18" s="23"/>
    </row>
    <row r="19" spans="1:10" x14ac:dyDescent="0.25">
      <c r="A19" s="21">
        <v>19</v>
      </c>
      <c r="B19" s="22">
        <v>46052</v>
      </c>
      <c r="C19" s="23" t="s">
        <v>76</v>
      </c>
      <c r="D19" s="24"/>
      <c r="E19" s="24">
        <v>200000</v>
      </c>
      <c r="F19" s="23"/>
      <c r="G19" s="23"/>
      <c r="H19" s="23"/>
      <c r="I19" s="23"/>
      <c r="J19" s="24">
        <v>200000</v>
      </c>
    </row>
    <row r="20" spans="1:10" x14ac:dyDescent="0.25">
      <c r="A20" s="21">
        <v>20</v>
      </c>
      <c r="B20" s="22">
        <v>46052</v>
      </c>
      <c r="C20" s="23" t="s">
        <v>77</v>
      </c>
      <c r="D20" s="24"/>
      <c r="E20" s="24">
        <v>13000</v>
      </c>
      <c r="F20" s="23"/>
      <c r="G20" s="23"/>
      <c r="H20" s="23"/>
      <c r="I20" s="23"/>
      <c r="J20" s="24">
        <v>13000</v>
      </c>
    </row>
    <row r="21" spans="1:10" x14ac:dyDescent="0.25">
      <c r="A21" s="21">
        <v>21</v>
      </c>
      <c r="B21" s="22">
        <v>46052</v>
      </c>
      <c r="C21" s="23" t="s">
        <v>78</v>
      </c>
      <c r="D21" s="24"/>
      <c r="E21" s="24">
        <v>150000</v>
      </c>
      <c r="F21" s="23"/>
      <c r="G21" s="23"/>
      <c r="H21" s="24">
        <v>150000</v>
      </c>
      <c r="I21" s="23"/>
      <c r="J21" s="23"/>
    </row>
    <row r="22" spans="1:10" x14ac:dyDescent="0.25">
      <c r="A22" s="21">
        <v>22</v>
      </c>
      <c r="B22" s="22">
        <v>46052</v>
      </c>
      <c r="C22" s="23" t="s">
        <v>79</v>
      </c>
      <c r="D22" s="24"/>
      <c r="E22" s="24">
        <v>180000</v>
      </c>
      <c r="F22" s="23"/>
      <c r="G22" s="23"/>
      <c r="H22" s="24">
        <v>180000</v>
      </c>
      <c r="I22" s="23"/>
      <c r="J22" s="23"/>
    </row>
    <row r="23" spans="1:10" x14ac:dyDescent="0.25">
      <c r="A23" s="21">
        <v>23</v>
      </c>
      <c r="B23" s="22">
        <v>46052</v>
      </c>
      <c r="C23" s="23" t="s">
        <v>80</v>
      </c>
      <c r="D23" s="24"/>
      <c r="E23" s="24">
        <v>40000</v>
      </c>
      <c r="F23" s="23"/>
      <c r="G23" s="23"/>
      <c r="H23" s="24">
        <v>40000</v>
      </c>
      <c r="I23" s="23"/>
      <c r="J23" s="23"/>
    </row>
    <row r="24" spans="1:10" x14ac:dyDescent="0.25">
      <c r="A24" s="23"/>
      <c r="B24" s="23"/>
      <c r="C24" s="23"/>
      <c r="D24" s="24"/>
      <c r="E24" s="24"/>
      <c r="F24" s="23"/>
      <c r="G24" s="23"/>
      <c r="H24" s="23"/>
      <c r="I24" s="23"/>
      <c r="J24" s="23"/>
    </row>
    <row r="25" spans="1:10" x14ac:dyDescent="0.25">
      <c r="A25" s="23"/>
      <c r="B25" s="26" t="s">
        <v>54</v>
      </c>
      <c r="C25" s="23" t="s">
        <v>81</v>
      </c>
      <c r="D25" s="32">
        <v>25000000</v>
      </c>
      <c r="E25" s="24"/>
      <c r="F25" s="23"/>
      <c r="G25" s="23"/>
      <c r="H25" s="23"/>
      <c r="I25" s="23"/>
      <c r="J25" s="23"/>
    </row>
    <row r="26" spans="1:10" x14ac:dyDescent="0.25">
      <c r="A26" s="23"/>
      <c r="B26" s="27"/>
      <c r="C26" s="23" t="s">
        <v>82</v>
      </c>
      <c r="D26" s="32">
        <f>SUM(D5:D15)</f>
        <v>222138</v>
      </c>
      <c r="E26" s="24"/>
      <c r="F26" s="23"/>
      <c r="G26" s="23"/>
      <c r="H26" s="23"/>
      <c r="I26" s="23"/>
      <c r="J26" s="23"/>
    </row>
    <row r="27" spans="1:10" x14ac:dyDescent="0.25">
      <c r="A27" s="23"/>
      <c r="B27" s="28"/>
      <c r="C27" s="23" t="s">
        <v>83</v>
      </c>
      <c r="D27" s="33"/>
      <c r="E27" s="32">
        <f>SUM(E3:E25)</f>
        <v>7803000</v>
      </c>
      <c r="F27" s="32">
        <f>SUM(F3:F26)</f>
        <v>9000000</v>
      </c>
      <c r="G27" s="32">
        <f t="shared" ref="G27:J27" si="0">SUM(G3:G26)</f>
        <v>12000000</v>
      </c>
      <c r="H27" s="32">
        <f t="shared" si="0"/>
        <v>10010000</v>
      </c>
      <c r="I27" s="32">
        <f t="shared" si="0"/>
        <v>500000</v>
      </c>
      <c r="J27" s="32">
        <f t="shared" si="0"/>
        <v>1515138</v>
      </c>
    </row>
    <row r="29" spans="1:10" x14ac:dyDescent="0.25">
      <c r="D29" s="29">
        <f>SUM(D25:E27)</f>
        <v>33025138</v>
      </c>
      <c r="F29" s="29">
        <f>SUM(F27:J27)</f>
        <v>33025138</v>
      </c>
    </row>
  </sheetData>
  <mergeCells count="1">
    <mergeCell ref="B25:B27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koin ranting</vt:lpstr>
      <vt:lpstr>pengeluaran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2026-02-11T04:07:55Z</dcterms:created>
  <dcterms:modified xsi:type="dcterms:W3CDTF">2026-02-12T05:02:52Z</dcterms:modified>
</cp:coreProperties>
</file>