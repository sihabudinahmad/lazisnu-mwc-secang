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koin ranting" sheetId="1" r:id="rId1"/>
    <sheet name="pengeluaran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26" i="2" l="1"/>
  <c r="E29" i="1"/>
  <c r="D29" i="1"/>
  <c r="G28" i="1"/>
  <c r="J28" i="1" s="1"/>
  <c r="F28" i="1"/>
  <c r="G27" i="1"/>
  <c r="J27" i="1" s="1"/>
  <c r="F27" i="1"/>
  <c r="G26" i="1"/>
  <c r="J26" i="1" s="1"/>
  <c r="F26" i="1"/>
  <c r="G25" i="1"/>
  <c r="J25" i="1" s="1"/>
  <c r="F25" i="1"/>
  <c r="G24" i="1"/>
  <c r="J24" i="1" s="1"/>
  <c r="F24" i="1"/>
  <c r="G23" i="1"/>
  <c r="J23" i="1" s="1"/>
  <c r="F23" i="1"/>
  <c r="G22" i="1"/>
  <c r="J22" i="1" s="1"/>
  <c r="F22" i="1"/>
  <c r="G21" i="1"/>
  <c r="J21" i="1" s="1"/>
  <c r="F21" i="1"/>
  <c r="G20" i="1"/>
  <c r="J20" i="1" s="1"/>
  <c r="F20" i="1"/>
  <c r="G19" i="1"/>
  <c r="J19" i="1" s="1"/>
  <c r="F19" i="1"/>
  <c r="G18" i="1"/>
  <c r="J18" i="1" s="1"/>
  <c r="F18" i="1"/>
  <c r="G17" i="1"/>
  <c r="J17" i="1" s="1"/>
  <c r="F17" i="1"/>
  <c r="G16" i="1"/>
  <c r="J16" i="1" s="1"/>
  <c r="F16" i="1"/>
  <c r="G15" i="1"/>
  <c r="J15" i="1" s="1"/>
  <c r="F15" i="1"/>
  <c r="G14" i="1"/>
  <c r="J14" i="1" s="1"/>
  <c r="F14" i="1"/>
  <c r="G13" i="1"/>
  <c r="J13" i="1" s="1"/>
  <c r="F13" i="1"/>
  <c r="G12" i="1"/>
  <c r="J12" i="1" s="1"/>
  <c r="F12" i="1"/>
  <c r="G11" i="1"/>
  <c r="J11" i="1" s="1"/>
  <c r="F11" i="1"/>
  <c r="G10" i="1"/>
  <c r="J10" i="1" s="1"/>
  <c r="F10" i="1"/>
  <c r="G9" i="1"/>
  <c r="F9" i="1"/>
  <c r="F29" i="1" s="1"/>
  <c r="J9" i="1" l="1"/>
  <c r="J29" i="1" s="1"/>
  <c r="H9" i="1"/>
  <c r="G29" i="1"/>
  <c r="K9" i="1"/>
  <c r="K29" i="1" s="1"/>
  <c r="I9" i="1"/>
  <c r="I10" i="1"/>
  <c r="K10" i="1"/>
  <c r="I11" i="1"/>
  <c r="K11" i="1"/>
  <c r="I12" i="1"/>
  <c r="K12" i="1"/>
  <c r="I13" i="1"/>
  <c r="K13" i="1"/>
  <c r="I14" i="1"/>
  <c r="K14" i="1"/>
  <c r="I15" i="1"/>
  <c r="K15" i="1"/>
  <c r="I16" i="1"/>
  <c r="K16" i="1"/>
  <c r="I17" i="1"/>
  <c r="K17" i="1"/>
  <c r="I18" i="1"/>
  <c r="K18" i="1"/>
  <c r="I19" i="1"/>
  <c r="K19" i="1"/>
  <c r="I20" i="1"/>
  <c r="K20" i="1"/>
  <c r="I21" i="1"/>
  <c r="K21" i="1"/>
  <c r="I22" i="1"/>
  <c r="K22" i="1"/>
  <c r="I23" i="1"/>
  <c r="K23" i="1"/>
  <c r="I24" i="1"/>
  <c r="K24" i="1"/>
  <c r="I25" i="1"/>
  <c r="K25" i="1"/>
  <c r="I26" i="1"/>
  <c r="K26" i="1"/>
  <c r="I27" i="1"/>
  <c r="K27" i="1"/>
  <c r="I28" i="1"/>
  <c r="K28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G27" i="2"/>
  <c r="H27" i="2"/>
  <c r="I27" i="2"/>
  <c r="J27" i="2"/>
  <c r="F27" i="2"/>
  <c r="E27" i="2"/>
  <c r="D29" i="2" l="1"/>
  <c r="F29" i="2"/>
  <c r="H29" i="1"/>
  <c r="I29" i="1"/>
</calcChain>
</file>

<file path=xl/sharedStrings.xml><?xml version="1.0" encoding="utf-8"?>
<sst xmlns="http://schemas.openxmlformats.org/spreadsheetml/2006/main" count="81" uniqueCount="79">
  <si>
    <t>LAPORAN PENGHIMPUNAN</t>
  </si>
  <si>
    <t>KOIN NU UPZIS MWC SECANG</t>
  </si>
  <si>
    <t>No</t>
  </si>
  <si>
    <t xml:space="preserve">Nama Ranting </t>
  </si>
  <si>
    <t>Ketua Ranting</t>
  </si>
  <si>
    <t>Hasil Pengambilan</t>
  </si>
  <si>
    <t>Kotak Aktif</t>
  </si>
  <si>
    <t>Ujroh Pengambilan</t>
  </si>
  <si>
    <t>Hasil Bersih</t>
  </si>
  <si>
    <t>Bag PCNU 5%</t>
  </si>
  <si>
    <t>Bag MWCNU 25%</t>
  </si>
  <si>
    <t>Ops Ambulan 5%</t>
  </si>
  <si>
    <t>Bag Ranting 65%</t>
  </si>
  <si>
    <t>Pancuranmas</t>
  </si>
  <si>
    <t>FAUZI</t>
  </si>
  <si>
    <t>Candisari</t>
  </si>
  <si>
    <t>SHOLICHUDIN</t>
  </si>
  <si>
    <t>Pucang</t>
  </si>
  <si>
    <t>M.SHODIK</t>
  </si>
  <si>
    <t>Sidomulyo</t>
  </si>
  <si>
    <t>H.SUROSO</t>
  </si>
  <si>
    <t>Krincing</t>
  </si>
  <si>
    <t>M.KHALWANI</t>
  </si>
  <si>
    <t>Donomulyo</t>
  </si>
  <si>
    <t>FATUROCMAN</t>
  </si>
  <si>
    <t>Girikulon</t>
  </si>
  <si>
    <t>M.USULUDIN</t>
  </si>
  <si>
    <t>Kalijoso</t>
  </si>
  <si>
    <t>MUH.TABIIN</t>
  </si>
  <si>
    <t>Jambewangi</t>
  </si>
  <si>
    <t>HARSINI</t>
  </si>
  <si>
    <t>Ngabean</t>
  </si>
  <si>
    <t>ZAENAL</t>
  </si>
  <si>
    <t>Ngadirojo</t>
  </si>
  <si>
    <t>M.RIFAI</t>
  </si>
  <si>
    <t>Madusari</t>
  </si>
  <si>
    <t>MUNIF.A</t>
  </si>
  <si>
    <t>Payaman</t>
  </si>
  <si>
    <t>SAMSUL.F</t>
  </si>
  <si>
    <t>Secang</t>
  </si>
  <si>
    <t>SARMUJI</t>
  </si>
  <si>
    <t>Candiretno</t>
  </si>
  <si>
    <t>A.KHOLIQ</t>
  </si>
  <si>
    <t>Pirikan</t>
  </si>
  <si>
    <t>ROZALI USMAN</t>
  </si>
  <si>
    <t>Donorejo</t>
  </si>
  <si>
    <t>M FAIZIN</t>
  </si>
  <si>
    <t>Madyocondro</t>
  </si>
  <si>
    <t>M ASROR</t>
  </si>
  <si>
    <t>Karangkajen</t>
  </si>
  <si>
    <t>NUR HAMID</t>
  </si>
  <si>
    <t>Purwosari</t>
  </si>
  <si>
    <t>RIDWAN</t>
  </si>
  <si>
    <t>TOTAL</t>
  </si>
  <si>
    <t>Mengetahui,</t>
  </si>
  <si>
    <t>Ketua UpzisNu MWC Secang</t>
  </si>
  <si>
    <t>Bendahara 1</t>
  </si>
  <si>
    <t>Anwari</t>
  </si>
  <si>
    <t>Retno Eko S, SE</t>
  </si>
  <si>
    <t>Pengeluaran rek BRI</t>
  </si>
  <si>
    <t>Pengeluaran Rek R</t>
  </si>
  <si>
    <t>Pengeluaran Tunai</t>
  </si>
  <si>
    <t>Tanggal</t>
  </si>
  <si>
    <t>Keterangan</t>
  </si>
  <si>
    <t>Rekening Bank</t>
  </si>
  <si>
    <t>Tunai</t>
  </si>
  <si>
    <t>PENGELUARAN</t>
  </si>
  <si>
    <t>Pendidikan</t>
  </si>
  <si>
    <t>Kesehatan</t>
  </si>
  <si>
    <t>Sosial Agama</t>
  </si>
  <si>
    <t>Tanggap Bencana</t>
  </si>
  <si>
    <t>Op Lazis</t>
  </si>
  <si>
    <t>PERIODE BULAN FEBRUARI TAHUN 2026</t>
  </si>
  <si>
    <t>Secang,     28 FEBRUARI 2026</t>
  </si>
  <si>
    <t>bensin ambil sayuran</t>
  </si>
  <si>
    <t>listrik kantor</t>
  </si>
  <si>
    <t>rapat koordinasi dengan MWC</t>
  </si>
  <si>
    <t>Penyelenggaraan lomba mewarnai ma'arif</t>
  </si>
  <si>
    <t>THR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</si>
</sst>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Rp&quot;* #,##0_-;\-&quot;Rp&quot;* #,##0_-;_-&quot;Rp&quot;* &quot;-&quot;_-;_-@_-"/>
  </numFmts>
  <fonts count="6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2" fontId="4" fillId="0" borderId="1" xfId="0" applyNumberFormat="1" applyFont="1" applyBorder="1"/>
    <xf numFmtId="0" fontId="3" fillId="0" borderId="1" xfId="0" applyFont="1" applyBorder="1"/>
    <xf numFmtId="42" fontId="3" fillId="0" borderId="1" xfId="0" applyNumberFormat="1" applyFont="1" applyBorder="1"/>
    <xf numFmtId="1" fontId="3" fillId="0" borderId="1" xfId="0" applyNumberFormat="1" applyFont="1" applyBorder="1"/>
    <xf numFmtId="0" fontId="4" fillId="0" borderId="0" xfId="0" applyFont="1"/>
    <xf numFmtId="42" fontId="4" fillId="0" borderId="0" xfId="0" applyNumberFormat="1" applyFont="1" applyFill="1" applyBorder="1"/>
    <xf numFmtId="0" fontId="4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42" fontId="0" fillId="0" borderId="1" xfId="0" applyNumberFormat="1" applyBorder="1"/>
    <xf numFmtId="42" fontId="0" fillId="0" borderId="1" xfId="0" applyNumberFormat="1" applyFont="1" applyBorder="1"/>
    <xf numFmtId="42" fontId="0" fillId="0" borderId="0" xfId="0" applyNumberFormat="1"/>
    <xf numFmtId="0" fontId="0" fillId="0" borderId="1" xfId="0" applyFill="1" applyBorder="1" applyAlignment="1">
      <alignment horizontal="center"/>
    </xf>
    <xf numFmtId="42" fontId="0" fillId="0" borderId="1" xfId="0" applyNumberFormat="1" applyFill="1" applyBorder="1"/>
    <xf numFmtId="42" fontId="5" fillId="0" borderId="1" xfId="0" applyNumberFormat="1" applyFont="1" applyBorder="1"/>
    <xf numFmtId="0" fontId="5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34</xdr:row>
      <xdr:rowOff>19050</xdr:rowOff>
    </xdr:from>
    <xdr:ext cx="1657351" cy="1149836"/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00" t="40691" r="35467" b="37537"/>
        <a:stretch/>
      </xdr:blipFill>
      <xdr:spPr>
        <a:xfrm>
          <a:off x="5219700" y="6524625"/>
          <a:ext cx="1657351" cy="1149836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33</xdr:row>
      <xdr:rowOff>85725</xdr:rowOff>
    </xdr:from>
    <xdr:to>
      <xdr:col>1</xdr:col>
      <xdr:colOff>771526</xdr:colOff>
      <xdr:row>40</xdr:row>
      <xdr:rowOff>73026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0" y="6400800"/>
          <a:ext cx="1028701" cy="1320801"/>
        </a:xfrm>
        <a:prstGeom prst="rect">
          <a:avLst/>
        </a:prstGeom>
      </xdr:spPr>
    </xdr:pic>
    <xdr:clientData/>
  </xdr:twoCellAnchor>
  <xdr:twoCellAnchor editAs="oneCell">
    <xdr:from>
      <xdr:col>5</xdr:col>
      <xdr:colOff>304799</xdr:colOff>
      <xdr:row>32</xdr:row>
      <xdr:rowOff>161926</xdr:rowOff>
    </xdr:from>
    <xdr:to>
      <xdr:col>5</xdr:col>
      <xdr:colOff>1209675</xdr:colOff>
      <xdr:row>38</xdr:row>
      <xdr:rowOff>168762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00" t="40691" r="35467" b="37537"/>
        <a:stretch/>
      </xdr:blipFill>
      <xdr:spPr>
        <a:xfrm>
          <a:off x="5267324" y="14430376"/>
          <a:ext cx="1657351" cy="114983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0</xdr:row>
      <xdr:rowOff>0</xdr:rowOff>
    </xdr:from>
    <xdr:ext cx="1181100" cy="809625"/>
    <xdr:pic>
      <xdr:nvPicPr>
        <xdr:cNvPr id="5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0050" y="8029575"/>
          <a:ext cx="1181100" cy="8096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C9" workbookViewId="0">
      <selection activeCell="F24" sqref="F24"/>
    </sheetView>
  </sheetViews>
  <sheetFormatPr defaultRowHeight="15" x14ac:dyDescent="0.25"/>
  <cols>
    <col min="1" max="1" width="3.85546875" bestFit="1" customWidth="1"/>
    <col min="2" max="2" width="15.7109375" bestFit="1" customWidth="1"/>
    <col min="3" max="3" width="15.5703125" bestFit="1" customWidth="1"/>
    <col min="4" max="4" width="19.85546875" bestFit="1" customWidth="1"/>
    <col min="5" max="5" width="11.85546875" bestFit="1" customWidth="1"/>
    <col min="6" max="6" width="19.28515625" customWidth="1"/>
    <col min="7" max="7" width="18.7109375" customWidth="1"/>
    <col min="8" max="8" width="17.5703125" customWidth="1"/>
    <col min="9" max="9" width="19.85546875" customWidth="1"/>
    <col min="10" max="10" width="19.5703125" customWidth="1"/>
    <col min="11" max="11" width="20.7109375" customWidth="1"/>
  </cols>
  <sheetData>
    <row r="1" spans="1:11" ht="15.75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1"/>
    </row>
    <row r="2" spans="1:11" ht="15.75" x14ac:dyDescent="0.25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1"/>
    </row>
    <row r="3" spans="1:11" ht="15.75" x14ac:dyDescent="0.25">
      <c r="A3" s="26" t="s">
        <v>72</v>
      </c>
      <c r="B3" s="27"/>
      <c r="C3" s="27"/>
      <c r="D3" s="27"/>
      <c r="E3" s="27"/>
      <c r="F3" s="27"/>
      <c r="G3" s="27"/>
      <c r="H3" s="27"/>
      <c r="I3" s="27"/>
      <c r="J3" s="27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5" t="s">
        <v>2</v>
      </c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12</v>
      </c>
    </row>
    <row r="8" spans="1:11" x14ac:dyDescent="0.25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</row>
    <row r="9" spans="1:11" x14ac:dyDescent="0.25">
      <c r="A9" s="7">
        <v>1</v>
      </c>
      <c r="B9" s="8" t="s">
        <v>13</v>
      </c>
      <c r="C9" s="4" t="s">
        <v>14</v>
      </c>
      <c r="D9" s="9">
        <v>3787500</v>
      </c>
      <c r="E9" s="8">
        <v>282</v>
      </c>
      <c r="F9" s="9">
        <f>SUM(E9*1000)</f>
        <v>282000</v>
      </c>
      <c r="G9" s="9">
        <f>SUM(D9-F9)</f>
        <v>3505500</v>
      </c>
      <c r="H9" s="9">
        <f>SUM(5/100*G9)</f>
        <v>175275</v>
      </c>
      <c r="I9" s="9">
        <f>SUM(25/100*G9)</f>
        <v>876375</v>
      </c>
      <c r="J9" s="9">
        <f>SUM(5/100*G9)</f>
        <v>175275</v>
      </c>
      <c r="K9" s="9">
        <f>SUM(65/100*G9)</f>
        <v>2278575</v>
      </c>
    </row>
    <row r="10" spans="1:11" x14ac:dyDescent="0.25">
      <c r="A10" s="7">
        <v>2</v>
      </c>
      <c r="B10" s="8" t="s">
        <v>15</v>
      </c>
      <c r="C10" s="4" t="s">
        <v>16</v>
      </c>
      <c r="D10" s="9">
        <v>2373000</v>
      </c>
      <c r="E10" s="8">
        <v>258</v>
      </c>
      <c r="F10" s="9">
        <f t="shared" ref="F10:F28" si="0">SUM(E10*1000)</f>
        <v>258000</v>
      </c>
      <c r="G10" s="9">
        <f>SUM(D10-F10)</f>
        <v>2115000</v>
      </c>
      <c r="H10" s="9">
        <f>SUM(5/100*G10)</f>
        <v>105750</v>
      </c>
      <c r="I10" s="9">
        <f>SUM(25/100*G10)</f>
        <v>528750</v>
      </c>
      <c r="J10" s="9">
        <f>SUM(5/100*G10)</f>
        <v>105750</v>
      </c>
      <c r="K10" s="9">
        <f>SUM(65/100*G10)</f>
        <v>1374750</v>
      </c>
    </row>
    <row r="11" spans="1:11" x14ac:dyDescent="0.25">
      <c r="A11" s="7">
        <v>3</v>
      </c>
      <c r="B11" s="8" t="s">
        <v>17</v>
      </c>
      <c r="C11" s="4" t="s">
        <v>18</v>
      </c>
      <c r="D11" s="9">
        <v>2473200</v>
      </c>
      <c r="E11" s="8">
        <v>277</v>
      </c>
      <c r="F11" s="9">
        <f t="shared" si="0"/>
        <v>277000</v>
      </c>
      <c r="G11" s="9">
        <f t="shared" ref="G11:G28" si="1">SUM(D11-F11)</f>
        <v>2196200</v>
      </c>
      <c r="H11" s="9">
        <f t="shared" ref="H11:H28" si="2">SUM(5/100*G11)</f>
        <v>109810</v>
      </c>
      <c r="I11" s="9">
        <f t="shared" ref="I11:I28" si="3">SUM(25/100*G11)</f>
        <v>549050</v>
      </c>
      <c r="J11" s="9">
        <f t="shared" ref="J11:J28" si="4">SUM(5/100*G11)</f>
        <v>109810</v>
      </c>
      <c r="K11" s="9">
        <f t="shared" ref="K11:K28" si="5">SUM(65/100*G11)</f>
        <v>1427530</v>
      </c>
    </row>
    <row r="12" spans="1:11" x14ac:dyDescent="0.25">
      <c r="A12" s="7">
        <v>4</v>
      </c>
      <c r="B12" s="8" t="s">
        <v>19</v>
      </c>
      <c r="C12" s="4" t="s">
        <v>20</v>
      </c>
      <c r="D12" s="9">
        <v>2942700</v>
      </c>
      <c r="E12" s="8">
        <v>406</v>
      </c>
      <c r="F12" s="9">
        <f t="shared" si="0"/>
        <v>406000</v>
      </c>
      <c r="G12" s="9">
        <f t="shared" si="1"/>
        <v>2536700</v>
      </c>
      <c r="H12" s="9">
        <f t="shared" si="2"/>
        <v>126835</v>
      </c>
      <c r="I12" s="9">
        <f t="shared" si="3"/>
        <v>634175</v>
      </c>
      <c r="J12" s="9">
        <f t="shared" si="4"/>
        <v>126835</v>
      </c>
      <c r="K12" s="9">
        <f t="shared" si="5"/>
        <v>1648855</v>
      </c>
    </row>
    <row r="13" spans="1:11" x14ac:dyDescent="0.25">
      <c r="A13" s="7">
        <v>5</v>
      </c>
      <c r="B13" s="8" t="s">
        <v>21</v>
      </c>
      <c r="C13" s="4" t="s">
        <v>22</v>
      </c>
      <c r="D13" s="9">
        <v>5290800</v>
      </c>
      <c r="E13" s="8">
        <v>355</v>
      </c>
      <c r="F13" s="9">
        <f t="shared" si="0"/>
        <v>355000</v>
      </c>
      <c r="G13" s="9">
        <f t="shared" si="1"/>
        <v>4935800</v>
      </c>
      <c r="H13" s="9">
        <f t="shared" si="2"/>
        <v>246790</v>
      </c>
      <c r="I13" s="9">
        <f t="shared" si="3"/>
        <v>1233950</v>
      </c>
      <c r="J13" s="9">
        <f t="shared" si="4"/>
        <v>246790</v>
      </c>
      <c r="K13" s="9">
        <f t="shared" si="5"/>
        <v>3208270</v>
      </c>
    </row>
    <row r="14" spans="1:11" x14ac:dyDescent="0.25">
      <c r="A14" s="7">
        <v>6</v>
      </c>
      <c r="B14" s="8" t="s">
        <v>23</v>
      </c>
      <c r="C14" s="4" t="s">
        <v>24</v>
      </c>
      <c r="D14" s="9">
        <v>2687000</v>
      </c>
      <c r="E14" s="8">
        <v>215</v>
      </c>
      <c r="F14" s="9">
        <f t="shared" si="0"/>
        <v>215000</v>
      </c>
      <c r="G14" s="9">
        <f t="shared" si="1"/>
        <v>2472000</v>
      </c>
      <c r="H14" s="9">
        <f t="shared" si="2"/>
        <v>123600</v>
      </c>
      <c r="I14" s="9">
        <f t="shared" si="3"/>
        <v>618000</v>
      </c>
      <c r="J14" s="9">
        <f t="shared" si="4"/>
        <v>123600</v>
      </c>
      <c r="K14" s="9">
        <f t="shared" si="5"/>
        <v>1606800</v>
      </c>
    </row>
    <row r="15" spans="1:11" x14ac:dyDescent="0.25">
      <c r="A15" s="7">
        <v>7</v>
      </c>
      <c r="B15" s="8" t="s">
        <v>25</v>
      </c>
      <c r="C15" s="4" t="s">
        <v>26</v>
      </c>
      <c r="D15" s="9">
        <v>1750000</v>
      </c>
      <c r="E15" s="8">
        <v>150</v>
      </c>
      <c r="F15" s="9">
        <f t="shared" si="0"/>
        <v>150000</v>
      </c>
      <c r="G15" s="9">
        <f t="shared" si="1"/>
        <v>1600000</v>
      </c>
      <c r="H15" s="9">
        <f t="shared" si="2"/>
        <v>80000</v>
      </c>
      <c r="I15" s="9">
        <f t="shared" si="3"/>
        <v>400000</v>
      </c>
      <c r="J15" s="9">
        <f t="shared" si="4"/>
        <v>80000</v>
      </c>
      <c r="K15" s="9">
        <f t="shared" si="5"/>
        <v>1040000</v>
      </c>
    </row>
    <row r="16" spans="1:11" x14ac:dyDescent="0.25">
      <c r="A16" s="7">
        <v>8</v>
      </c>
      <c r="B16" s="8" t="s">
        <v>27</v>
      </c>
      <c r="C16" s="4" t="s">
        <v>28</v>
      </c>
      <c r="D16" s="9">
        <v>5421800</v>
      </c>
      <c r="E16" s="8">
        <v>403</v>
      </c>
      <c r="F16" s="9">
        <f t="shared" si="0"/>
        <v>403000</v>
      </c>
      <c r="G16" s="9">
        <f t="shared" si="1"/>
        <v>5018800</v>
      </c>
      <c r="H16" s="9">
        <f t="shared" si="2"/>
        <v>250940</v>
      </c>
      <c r="I16" s="9">
        <f t="shared" si="3"/>
        <v>1254700</v>
      </c>
      <c r="J16" s="9">
        <f t="shared" si="4"/>
        <v>250940</v>
      </c>
      <c r="K16" s="9">
        <f t="shared" si="5"/>
        <v>3262220</v>
      </c>
    </row>
    <row r="17" spans="1:11" x14ac:dyDescent="0.25">
      <c r="A17" s="7">
        <v>9</v>
      </c>
      <c r="B17" s="8" t="s">
        <v>29</v>
      </c>
      <c r="C17" s="4" t="s">
        <v>30</v>
      </c>
      <c r="D17" s="9">
        <v>1649000</v>
      </c>
      <c r="E17" s="8">
        <v>49</v>
      </c>
      <c r="F17" s="9">
        <f t="shared" si="0"/>
        <v>49000</v>
      </c>
      <c r="G17" s="9">
        <f t="shared" si="1"/>
        <v>1600000</v>
      </c>
      <c r="H17" s="9">
        <f t="shared" si="2"/>
        <v>80000</v>
      </c>
      <c r="I17" s="9">
        <f t="shared" si="3"/>
        <v>400000</v>
      </c>
      <c r="J17" s="9">
        <f t="shared" si="4"/>
        <v>80000</v>
      </c>
      <c r="K17" s="9">
        <f t="shared" si="5"/>
        <v>1040000</v>
      </c>
    </row>
    <row r="18" spans="1:11" x14ac:dyDescent="0.25">
      <c r="A18" s="7">
        <v>10</v>
      </c>
      <c r="B18" s="8" t="s">
        <v>31</v>
      </c>
      <c r="C18" s="4" t="s">
        <v>32</v>
      </c>
      <c r="D18" s="9">
        <v>2533000</v>
      </c>
      <c r="E18" s="8">
        <v>256</v>
      </c>
      <c r="F18" s="9">
        <f t="shared" si="0"/>
        <v>256000</v>
      </c>
      <c r="G18" s="9">
        <f t="shared" si="1"/>
        <v>2277000</v>
      </c>
      <c r="H18" s="9">
        <f t="shared" si="2"/>
        <v>113850</v>
      </c>
      <c r="I18" s="9">
        <f t="shared" si="3"/>
        <v>569250</v>
      </c>
      <c r="J18" s="9">
        <f t="shared" si="4"/>
        <v>113850</v>
      </c>
      <c r="K18" s="9">
        <f t="shared" si="5"/>
        <v>1480050</v>
      </c>
    </row>
    <row r="19" spans="1:11" x14ac:dyDescent="0.25">
      <c r="A19" s="7">
        <v>11</v>
      </c>
      <c r="B19" s="8" t="s">
        <v>33</v>
      </c>
      <c r="C19" s="4" t="s">
        <v>34</v>
      </c>
      <c r="D19" s="9">
        <v>4638000</v>
      </c>
      <c r="E19" s="8">
        <v>203</v>
      </c>
      <c r="F19" s="9">
        <f t="shared" si="0"/>
        <v>203000</v>
      </c>
      <c r="G19" s="9">
        <f t="shared" si="1"/>
        <v>4435000</v>
      </c>
      <c r="H19" s="9">
        <f t="shared" si="2"/>
        <v>221750</v>
      </c>
      <c r="I19" s="9">
        <f t="shared" si="3"/>
        <v>1108750</v>
      </c>
      <c r="J19" s="9">
        <f t="shared" si="4"/>
        <v>221750</v>
      </c>
      <c r="K19" s="9">
        <f t="shared" si="5"/>
        <v>2882750</v>
      </c>
    </row>
    <row r="20" spans="1:11" x14ac:dyDescent="0.25">
      <c r="A20" s="7">
        <v>12</v>
      </c>
      <c r="B20" s="8" t="s">
        <v>35</v>
      </c>
      <c r="C20" s="4" t="s">
        <v>36</v>
      </c>
      <c r="D20" s="9">
        <v>3620000</v>
      </c>
      <c r="E20" s="8">
        <v>300</v>
      </c>
      <c r="F20" s="9">
        <f t="shared" si="0"/>
        <v>300000</v>
      </c>
      <c r="G20" s="9">
        <f t="shared" si="1"/>
        <v>3320000</v>
      </c>
      <c r="H20" s="9">
        <f t="shared" si="2"/>
        <v>166000</v>
      </c>
      <c r="I20" s="9">
        <f t="shared" si="3"/>
        <v>830000</v>
      </c>
      <c r="J20" s="9">
        <f t="shared" si="4"/>
        <v>166000</v>
      </c>
      <c r="K20" s="9">
        <f t="shared" si="5"/>
        <v>2158000</v>
      </c>
    </row>
    <row r="21" spans="1:11" x14ac:dyDescent="0.25">
      <c r="A21" s="7">
        <v>13</v>
      </c>
      <c r="B21" s="8" t="s">
        <v>37</v>
      </c>
      <c r="C21" s="4" t="s">
        <v>38</v>
      </c>
      <c r="D21" s="9">
        <v>16733400</v>
      </c>
      <c r="E21" s="8">
        <v>811</v>
      </c>
      <c r="F21" s="9">
        <f t="shared" si="0"/>
        <v>811000</v>
      </c>
      <c r="G21" s="9">
        <f t="shared" si="1"/>
        <v>15922400</v>
      </c>
      <c r="H21" s="9">
        <f t="shared" si="2"/>
        <v>796120</v>
      </c>
      <c r="I21" s="9">
        <f t="shared" si="3"/>
        <v>3980600</v>
      </c>
      <c r="J21" s="9">
        <f t="shared" si="4"/>
        <v>796120</v>
      </c>
      <c r="K21" s="9">
        <f t="shared" si="5"/>
        <v>10349560</v>
      </c>
    </row>
    <row r="22" spans="1:11" x14ac:dyDescent="0.25">
      <c r="A22" s="7">
        <v>14</v>
      </c>
      <c r="B22" s="8" t="s">
        <v>39</v>
      </c>
      <c r="C22" s="4" t="s">
        <v>40</v>
      </c>
      <c r="D22" s="9">
        <v>4194000</v>
      </c>
      <c r="E22" s="8">
        <v>466</v>
      </c>
      <c r="F22" s="9">
        <f t="shared" si="0"/>
        <v>466000</v>
      </c>
      <c r="G22" s="9">
        <f t="shared" si="1"/>
        <v>3728000</v>
      </c>
      <c r="H22" s="9">
        <f t="shared" si="2"/>
        <v>186400</v>
      </c>
      <c r="I22" s="9">
        <f t="shared" si="3"/>
        <v>932000</v>
      </c>
      <c r="J22" s="9">
        <f t="shared" si="4"/>
        <v>186400</v>
      </c>
      <c r="K22" s="9">
        <f t="shared" si="5"/>
        <v>2423200</v>
      </c>
    </row>
    <row r="23" spans="1:11" x14ac:dyDescent="0.25">
      <c r="A23" s="7">
        <v>15</v>
      </c>
      <c r="B23" s="8" t="s">
        <v>41</v>
      </c>
      <c r="C23" s="4" t="s">
        <v>42</v>
      </c>
      <c r="D23" s="9">
        <v>5454300</v>
      </c>
      <c r="E23" s="8">
        <v>589</v>
      </c>
      <c r="F23" s="9">
        <f t="shared" si="0"/>
        <v>589000</v>
      </c>
      <c r="G23" s="9">
        <f t="shared" si="1"/>
        <v>4865300</v>
      </c>
      <c r="H23" s="9">
        <f t="shared" si="2"/>
        <v>243265</v>
      </c>
      <c r="I23" s="9">
        <f t="shared" si="3"/>
        <v>1216325</v>
      </c>
      <c r="J23" s="9">
        <f t="shared" si="4"/>
        <v>243265</v>
      </c>
      <c r="K23" s="9">
        <f t="shared" si="5"/>
        <v>3162445</v>
      </c>
    </row>
    <row r="24" spans="1:11" x14ac:dyDescent="0.25">
      <c r="A24" s="7">
        <v>16</v>
      </c>
      <c r="B24" s="8" t="s">
        <v>43</v>
      </c>
      <c r="C24" s="4" t="s">
        <v>44</v>
      </c>
      <c r="D24" s="9">
        <v>1659300</v>
      </c>
      <c r="E24" s="8">
        <v>154</v>
      </c>
      <c r="F24" s="9">
        <f t="shared" si="0"/>
        <v>154000</v>
      </c>
      <c r="G24" s="9">
        <f t="shared" si="1"/>
        <v>1505300</v>
      </c>
      <c r="H24" s="9">
        <f t="shared" si="2"/>
        <v>75265</v>
      </c>
      <c r="I24" s="9">
        <f t="shared" si="3"/>
        <v>376325</v>
      </c>
      <c r="J24" s="9">
        <f t="shared" si="4"/>
        <v>75265</v>
      </c>
      <c r="K24" s="9">
        <f t="shared" si="5"/>
        <v>978445</v>
      </c>
    </row>
    <row r="25" spans="1:11" x14ac:dyDescent="0.25">
      <c r="A25" s="7">
        <v>17</v>
      </c>
      <c r="B25" s="8" t="s">
        <v>45</v>
      </c>
      <c r="C25" s="4" t="s">
        <v>46</v>
      </c>
      <c r="D25" s="9">
        <v>2470000</v>
      </c>
      <c r="E25" s="8">
        <v>120</v>
      </c>
      <c r="F25" s="9">
        <f t="shared" si="0"/>
        <v>120000</v>
      </c>
      <c r="G25" s="9">
        <f t="shared" si="1"/>
        <v>2350000</v>
      </c>
      <c r="H25" s="9">
        <f t="shared" si="2"/>
        <v>117500</v>
      </c>
      <c r="I25" s="9">
        <f t="shared" si="3"/>
        <v>587500</v>
      </c>
      <c r="J25" s="9">
        <f t="shared" si="4"/>
        <v>117500</v>
      </c>
      <c r="K25" s="9">
        <f t="shared" si="5"/>
        <v>1527500</v>
      </c>
    </row>
    <row r="26" spans="1:11" x14ac:dyDescent="0.25">
      <c r="A26" s="7">
        <v>18</v>
      </c>
      <c r="B26" s="8" t="s">
        <v>47</v>
      </c>
      <c r="C26" s="4" t="s">
        <v>48</v>
      </c>
      <c r="D26" s="9">
        <v>1966000</v>
      </c>
      <c r="E26" s="8">
        <v>160</v>
      </c>
      <c r="F26" s="9">
        <f t="shared" si="0"/>
        <v>160000</v>
      </c>
      <c r="G26" s="9">
        <f t="shared" si="1"/>
        <v>1806000</v>
      </c>
      <c r="H26" s="9">
        <f t="shared" si="2"/>
        <v>90300</v>
      </c>
      <c r="I26" s="9">
        <f t="shared" si="3"/>
        <v>451500</v>
      </c>
      <c r="J26" s="9">
        <f t="shared" si="4"/>
        <v>90300</v>
      </c>
      <c r="K26" s="9">
        <f t="shared" si="5"/>
        <v>1173900</v>
      </c>
    </row>
    <row r="27" spans="1:11" x14ac:dyDescent="0.25">
      <c r="A27" s="7">
        <v>19</v>
      </c>
      <c r="B27" s="8" t="s">
        <v>49</v>
      </c>
      <c r="C27" s="4" t="s">
        <v>50</v>
      </c>
      <c r="D27" s="9"/>
      <c r="E27" s="8"/>
      <c r="F27" s="9">
        <f t="shared" si="0"/>
        <v>0</v>
      </c>
      <c r="G27" s="9">
        <f t="shared" si="1"/>
        <v>0</v>
      </c>
      <c r="H27" s="9">
        <f t="shared" si="2"/>
        <v>0</v>
      </c>
      <c r="I27" s="9">
        <f t="shared" si="3"/>
        <v>0</v>
      </c>
      <c r="J27" s="9">
        <f t="shared" si="4"/>
        <v>0</v>
      </c>
      <c r="K27" s="9">
        <f t="shared" si="5"/>
        <v>0</v>
      </c>
    </row>
    <row r="28" spans="1:11" x14ac:dyDescent="0.25">
      <c r="A28" s="7">
        <v>20</v>
      </c>
      <c r="B28" s="8" t="s">
        <v>51</v>
      </c>
      <c r="C28" s="4" t="s">
        <v>52</v>
      </c>
      <c r="D28" s="9"/>
      <c r="E28" s="8"/>
      <c r="F28" s="9">
        <f t="shared" si="0"/>
        <v>0</v>
      </c>
      <c r="G28" s="9">
        <f t="shared" si="1"/>
        <v>0</v>
      </c>
      <c r="H28" s="9">
        <f t="shared" si="2"/>
        <v>0</v>
      </c>
      <c r="I28" s="9">
        <f t="shared" si="3"/>
        <v>0</v>
      </c>
      <c r="J28" s="9">
        <f t="shared" si="4"/>
        <v>0</v>
      </c>
      <c r="K28" s="9">
        <f t="shared" si="5"/>
        <v>0</v>
      </c>
    </row>
    <row r="29" spans="1:11" x14ac:dyDescent="0.25">
      <c r="A29" s="8"/>
      <c r="B29" s="10" t="s">
        <v>53</v>
      </c>
      <c r="C29" s="10"/>
      <c r="D29" s="11">
        <f t="shared" ref="D29:K29" si="6">SUM(D9:D28)</f>
        <v>71643000</v>
      </c>
      <c r="E29" s="12">
        <f t="shared" si="6"/>
        <v>5454</v>
      </c>
      <c r="F29" s="11">
        <f t="shared" si="6"/>
        <v>5454000</v>
      </c>
      <c r="G29" s="11">
        <f t="shared" si="6"/>
        <v>66189000</v>
      </c>
      <c r="H29" s="11">
        <f t="shared" si="6"/>
        <v>3309450</v>
      </c>
      <c r="I29" s="11">
        <f t="shared" si="6"/>
        <v>16547250</v>
      </c>
      <c r="J29" s="11">
        <f t="shared" si="6"/>
        <v>3309450</v>
      </c>
      <c r="K29" s="11">
        <f t="shared" si="6"/>
        <v>43022850</v>
      </c>
    </row>
    <row r="30" spans="1:11" x14ac:dyDescent="0.25">
      <c r="A30" s="13"/>
      <c r="B30" s="13"/>
      <c r="C30" s="13"/>
      <c r="D30" s="14"/>
      <c r="E30" s="13"/>
      <c r="F30" s="13"/>
      <c r="G30" s="13"/>
      <c r="H30" s="13"/>
      <c r="I30" s="13"/>
      <c r="J30" s="13"/>
      <c r="K30" s="13"/>
    </row>
    <row r="31" spans="1:11" x14ac:dyDescent="0.25">
      <c r="A31" s="13"/>
      <c r="B31" s="13"/>
      <c r="C31" s="13"/>
      <c r="D31" s="14"/>
      <c r="E31" s="13"/>
      <c r="F31" s="13"/>
      <c r="G31" s="13"/>
      <c r="H31" s="13"/>
      <c r="I31" s="13" t="s">
        <v>73</v>
      </c>
      <c r="J31" s="13"/>
      <c r="K31" s="13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x14ac:dyDescent="0.25">
      <c r="A33" s="13"/>
      <c r="B33" s="13"/>
      <c r="C33" s="13"/>
      <c r="D33" s="13"/>
      <c r="E33" s="13"/>
      <c r="F33" s="13"/>
      <c r="G33" s="13"/>
      <c r="H33" s="13"/>
      <c r="I33" s="13" t="s">
        <v>54</v>
      </c>
      <c r="J33" s="13"/>
      <c r="K33" s="13"/>
    </row>
    <row r="34" spans="1:11" x14ac:dyDescent="0.25">
      <c r="A34" s="13"/>
      <c r="B34" s="13"/>
      <c r="C34" s="13"/>
      <c r="D34" s="13"/>
      <c r="E34" s="13"/>
      <c r="F34" s="13" t="s">
        <v>55</v>
      </c>
      <c r="G34" s="13"/>
      <c r="H34" s="13"/>
      <c r="I34" s="13" t="s">
        <v>56</v>
      </c>
      <c r="J34" s="13"/>
      <c r="K34" s="13"/>
    </row>
    <row r="35" spans="1:1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x14ac:dyDescent="0.25">
      <c r="A38" s="13"/>
      <c r="B38" s="13"/>
      <c r="C38" s="13"/>
      <c r="D38" s="13"/>
      <c r="E38" s="13"/>
      <c r="F38" s="15" t="s">
        <v>57</v>
      </c>
      <c r="G38" s="13"/>
      <c r="H38" s="13"/>
      <c r="I38" s="13" t="s">
        <v>58</v>
      </c>
      <c r="J38" s="13"/>
      <c r="K38" s="13"/>
    </row>
  </sheetData>
  <mergeCells count="3">
    <mergeCell ref="A2:J2"/>
    <mergeCell ref="A3:J3"/>
    <mergeCell ref="A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F23" sqref="F23"/>
    </sheetView>
  </sheetViews>
  <sheetFormatPr defaultRowHeight="15" x14ac:dyDescent="0.25"/>
  <cols>
    <col min="2" max="2" width="10.7109375" bestFit="1" customWidth="1"/>
    <col min="3" max="3" width="38.7109375" customWidth="1"/>
    <col min="4" max="4" width="15.42578125" customWidth="1"/>
    <col min="5" max="5" width="15.28515625" customWidth="1"/>
    <col min="6" max="6" width="15.85546875" customWidth="1"/>
    <col min="7" max="7" width="13.85546875" customWidth="1"/>
    <col min="8" max="8" width="14.85546875" customWidth="1"/>
    <col min="9" max="9" width="16.42578125" customWidth="1"/>
    <col min="10" max="10" width="13.5703125" customWidth="1"/>
  </cols>
  <sheetData>
    <row r="1" spans="1:10" s="1" customFormat="1" x14ac:dyDescent="0.25">
      <c r="A1" s="1" t="s">
        <v>66</v>
      </c>
    </row>
    <row r="2" spans="1:10" x14ac:dyDescent="0.25">
      <c r="A2" s="16" t="s">
        <v>2</v>
      </c>
      <c r="B2" s="16" t="s">
        <v>62</v>
      </c>
      <c r="C2" s="16" t="s">
        <v>63</v>
      </c>
      <c r="D2" s="16" t="s">
        <v>64</v>
      </c>
      <c r="E2" s="16" t="s">
        <v>65</v>
      </c>
      <c r="F2" s="22" t="s">
        <v>68</v>
      </c>
      <c r="G2" s="22" t="s">
        <v>67</v>
      </c>
      <c r="H2" s="22" t="s">
        <v>69</v>
      </c>
      <c r="I2" s="22" t="s">
        <v>70</v>
      </c>
      <c r="J2" s="22" t="s">
        <v>71</v>
      </c>
    </row>
    <row r="3" spans="1:10" x14ac:dyDescent="0.25">
      <c r="A3" s="16">
        <v>1</v>
      </c>
      <c r="B3" s="17">
        <v>46057</v>
      </c>
      <c r="C3" s="18" t="s">
        <v>74</v>
      </c>
      <c r="D3" s="18"/>
      <c r="E3" s="19">
        <v>100000</v>
      </c>
      <c r="F3" s="19"/>
      <c r="G3" s="19"/>
      <c r="H3" s="19"/>
      <c r="I3" s="19"/>
      <c r="J3" s="19">
        <v>100000</v>
      </c>
    </row>
    <row r="4" spans="1:10" x14ac:dyDescent="0.25">
      <c r="A4" s="16">
        <v>2</v>
      </c>
      <c r="B4" s="17">
        <v>46063</v>
      </c>
      <c r="C4" s="18" t="s">
        <v>75</v>
      </c>
      <c r="D4" s="19">
        <v>207000</v>
      </c>
      <c r="E4" s="19"/>
      <c r="F4" s="19"/>
      <c r="G4" s="19"/>
      <c r="H4" s="19"/>
      <c r="I4" s="19"/>
      <c r="J4" s="19">
        <v>207000</v>
      </c>
    </row>
    <row r="5" spans="1:10" x14ac:dyDescent="0.25">
      <c r="A5" s="16">
        <v>3</v>
      </c>
      <c r="B5" s="17">
        <v>46069</v>
      </c>
      <c r="C5" s="18" t="s">
        <v>76</v>
      </c>
      <c r="D5" s="19"/>
      <c r="E5" s="19">
        <v>286000</v>
      </c>
      <c r="F5" s="19"/>
      <c r="G5" s="19"/>
      <c r="H5" s="19"/>
      <c r="I5" s="19"/>
      <c r="J5" s="19">
        <v>286000</v>
      </c>
    </row>
    <row r="6" spans="1:10" x14ac:dyDescent="0.25">
      <c r="A6" s="16">
        <v>4</v>
      </c>
      <c r="B6" s="17">
        <v>46057</v>
      </c>
      <c r="C6" s="18" t="s">
        <v>77</v>
      </c>
      <c r="D6" s="18"/>
      <c r="E6" s="19">
        <v>5000000</v>
      </c>
      <c r="F6" s="19"/>
      <c r="G6" s="19">
        <v>5000000</v>
      </c>
      <c r="H6" s="19"/>
      <c r="I6" s="19"/>
      <c r="J6" s="19"/>
    </row>
    <row r="7" spans="1:10" x14ac:dyDescent="0.25">
      <c r="A7" s="16">
        <v>5</v>
      </c>
      <c r="B7" s="17">
        <v>46081</v>
      </c>
      <c r="C7" s="18" t="s">
        <v>78</v>
      </c>
      <c r="D7" s="18"/>
      <c r="E7" s="19">
        <v>9000000</v>
      </c>
      <c r="F7" s="19"/>
      <c r="G7" s="19"/>
      <c r="H7" s="19"/>
      <c r="I7" s="19"/>
      <c r="J7" s="19">
        <v>9000000</v>
      </c>
    </row>
    <row r="8" spans="1:10" x14ac:dyDescent="0.25">
      <c r="A8" s="16"/>
      <c r="B8" s="17"/>
      <c r="C8" s="18"/>
      <c r="D8" s="18"/>
      <c r="E8" s="19"/>
      <c r="F8" s="19"/>
      <c r="G8" s="19"/>
      <c r="H8" s="19"/>
      <c r="I8" s="19"/>
      <c r="J8" s="19"/>
    </row>
    <row r="9" spans="1:10" x14ac:dyDescent="0.25">
      <c r="A9" s="16"/>
      <c r="B9" s="17"/>
      <c r="C9" s="18"/>
      <c r="D9" s="18"/>
      <c r="E9" s="19"/>
      <c r="F9" s="18"/>
      <c r="G9" s="18"/>
      <c r="H9" s="18"/>
      <c r="I9" s="18"/>
      <c r="J9" s="19"/>
    </row>
    <row r="10" spans="1:10" x14ac:dyDescent="0.25">
      <c r="A10" s="16"/>
      <c r="B10" s="17"/>
      <c r="C10" s="18"/>
      <c r="D10" s="18"/>
      <c r="E10" s="19"/>
      <c r="F10" s="18"/>
      <c r="G10" s="19"/>
      <c r="H10" s="18"/>
      <c r="I10" s="18"/>
      <c r="J10" s="18"/>
    </row>
    <row r="11" spans="1:10" x14ac:dyDescent="0.25">
      <c r="A11" s="16"/>
      <c r="B11" s="17"/>
      <c r="C11" s="18"/>
      <c r="D11" s="18"/>
      <c r="E11" s="19"/>
      <c r="F11" s="18"/>
      <c r="G11" s="18"/>
      <c r="H11" s="18"/>
      <c r="I11" s="18"/>
      <c r="J11" s="19"/>
    </row>
    <row r="12" spans="1:10" x14ac:dyDescent="0.25">
      <c r="A12" s="16"/>
      <c r="B12" s="17"/>
      <c r="C12" s="18"/>
      <c r="D12" s="18"/>
      <c r="E12" s="19"/>
      <c r="F12" s="18"/>
      <c r="G12" s="18"/>
      <c r="H12" s="18"/>
      <c r="I12" s="18"/>
      <c r="J12" s="19"/>
    </row>
    <row r="13" spans="1:10" x14ac:dyDescent="0.25">
      <c r="A13" s="16"/>
      <c r="B13" s="17"/>
      <c r="C13" s="18"/>
      <c r="D13" s="19"/>
      <c r="E13" s="19"/>
      <c r="F13" s="18"/>
      <c r="G13" s="18"/>
      <c r="H13" s="18"/>
      <c r="I13" s="18"/>
      <c r="J13" s="19"/>
    </row>
    <row r="14" spans="1:10" x14ac:dyDescent="0.25">
      <c r="A14" s="16"/>
      <c r="B14" s="17"/>
      <c r="C14" s="18"/>
      <c r="D14" s="19"/>
      <c r="E14" s="19"/>
      <c r="F14" s="18"/>
      <c r="G14" s="18"/>
      <c r="H14" s="18"/>
      <c r="I14" s="18"/>
      <c r="J14" s="19"/>
    </row>
    <row r="15" spans="1:10" x14ac:dyDescent="0.25">
      <c r="A15" s="16"/>
      <c r="B15" s="17"/>
      <c r="C15" s="18"/>
      <c r="D15" s="19"/>
      <c r="E15" s="19"/>
      <c r="F15" s="18"/>
      <c r="G15" s="18"/>
      <c r="H15" s="18"/>
      <c r="I15" s="18"/>
      <c r="J15" s="19"/>
    </row>
    <row r="16" spans="1:10" x14ac:dyDescent="0.25">
      <c r="A16" s="16"/>
      <c r="B16" s="17"/>
      <c r="C16" s="20"/>
      <c r="D16" s="19"/>
      <c r="E16" s="19"/>
      <c r="F16" s="23"/>
      <c r="G16" s="23"/>
      <c r="H16" s="23"/>
      <c r="I16" s="18"/>
      <c r="J16" s="18"/>
    </row>
    <row r="17" spans="1:10" x14ac:dyDescent="0.25">
      <c r="A17" s="16"/>
      <c r="B17" s="17"/>
      <c r="C17" s="18"/>
      <c r="D17" s="19"/>
      <c r="E17" s="19"/>
      <c r="F17" s="18"/>
      <c r="G17" s="18"/>
      <c r="H17" s="19"/>
      <c r="I17" s="18"/>
      <c r="J17" s="18"/>
    </row>
    <row r="18" spans="1:10" x14ac:dyDescent="0.25">
      <c r="A18" s="16"/>
      <c r="B18" s="17"/>
      <c r="C18" s="18"/>
      <c r="D18" s="19"/>
      <c r="E18" s="19"/>
      <c r="F18" s="18"/>
      <c r="G18" s="18"/>
      <c r="H18" s="19"/>
      <c r="I18" s="18"/>
      <c r="J18" s="18"/>
    </row>
    <row r="19" spans="1:10" x14ac:dyDescent="0.25">
      <c r="A19" s="16"/>
      <c r="B19" s="17"/>
      <c r="C19" s="18"/>
      <c r="D19" s="19"/>
      <c r="E19" s="19"/>
      <c r="F19" s="18"/>
      <c r="G19" s="18"/>
      <c r="H19" s="18"/>
      <c r="I19" s="18"/>
      <c r="J19" s="19"/>
    </row>
    <row r="20" spans="1:10" x14ac:dyDescent="0.25">
      <c r="A20" s="16"/>
      <c r="B20" s="17"/>
      <c r="C20" s="18"/>
      <c r="D20" s="19"/>
      <c r="E20" s="19"/>
      <c r="F20" s="18"/>
      <c r="G20" s="18"/>
      <c r="H20" s="18"/>
      <c r="I20" s="18"/>
      <c r="J20" s="19"/>
    </row>
    <row r="21" spans="1:10" x14ac:dyDescent="0.25">
      <c r="A21" s="16"/>
      <c r="B21" s="17"/>
      <c r="C21" s="18"/>
      <c r="D21" s="19"/>
      <c r="E21" s="19"/>
      <c r="F21" s="18"/>
      <c r="G21" s="18"/>
      <c r="H21" s="19"/>
      <c r="I21" s="18"/>
      <c r="J21" s="18"/>
    </row>
    <row r="22" spans="1:10" x14ac:dyDescent="0.25">
      <c r="A22" s="16"/>
      <c r="B22" s="17"/>
      <c r="C22" s="18"/>
      <c r="D22" s="19"/>
      <c r="E22" s="19"/>
      <c r="F22" s="18"/>
      <c r="G22" s="18"/>
      <c r="H22" s="19"/>
      <c r="I22" s="18"/>
      <c r="J22" s="18"/>
    </row>
    <row r="23" spans="1:10" x14ac:dyDescent="0.25">
      <c r="A23" s="16"/>
      <c r="B23" s="17"/>
      <c r="C23" s="18"/>
      <c r="D23" s="19"/>
      <c r="E23" s="19"/>
      <c r="F23" s="18"/>
      <c r="G23" s="18"/>
      <c r="H23" s="19"/>
      <c r="I23" s="18"/>
      <c r="J23" s="18"/>
    </row>
    <row r="24" spans="1:10" x14ac:dyDescent="0.25">
      <c r="A24" s="18"/>
      <c r="B24" s="18"/>
      <c r="C24" s="18"/>
      <c r="D24" s="19"/>
      <c r="E24" s="19"/>
      <c r="F24" s="18"/>
      <c r="G24" s="18"/>
      <c r="H24" s="18"/>
      <c r="I24" s="18"/>
      <c r="J24" s="18"/>
    </row>
    <row r="25" spans="1:10" x14ac:dyDescent="0.25">
      <c r="A25" s="18"/>
      <c r="B25" s="28" t="s">
        <v>53</v>
      </c>
      <c r="C25" s="18" t="s">
        <v>59</v>
      </c>
      <c r="D25" s="24">
        <v>0</v>
      </c>
      <c r="E25" s="19"/>
      <c r="F25" s="18"/>
      <c r="G25" s="18"/>
      <c r="H25" s="18"/>
      <c r="I25" s="18"/>
      <c r="J25" s="18"/>
    </row>
    <row r="26" spans="1:10" x14ac:dyDescent="0.25">
      <c r="A26" s="18"/>
      <c r="B26" s="29"/>
      <c r="C26" s="18" t="s">
        <v>60</v>
      </c>
      <c r="D26" s="24">
        <f>D4</f>
        <v>207000</v>
      </c>
      <c r="E26" s="19"/>
      <c r="F26" s="18"/>
      <c r="G26" s="18"/>
      <c r="H26" s="18"/>
      <c r="I26" s="18"/>
      <c r="J26" s="18"/>
    </row>
    <row r="27" spans="1:10" x14ac:dyDescent="0.25">
      <c r="A27" s="18"/>
      <c r="B27" s="30"/>
      <c r="C27" s="18" t="s">
        <v>61</v>
      </c>
      <c r="D27" s="25"/>
      <c r="E27" s="24">
        <f>SUM(E3:E25)</f>
        <v>14386000</v>
      </c>
      <c r="F27" s="24">
        <f>SUM(F3:F26)</f>
        <v>0</v>
      </c>
      <c r="G27" s="24">
        <f t="shared" ref="G27:J27" si="0">SUM(G3:G26)</f>
        <v>5000000</v>
      </c>
      <c r="H27" s="24">
        <f t="shared" si="0"/>
        <v>0</v>
      </c>
      <c r="I27" s="24">
        <f t="shared" si="0"/>
        <v>0</v>
      </c>
      <c r="J27" s="24">
        <f t="shared" si="0"/>
        <v>9593000</v>
      </c>
    </row>
    <row r="29" spans="1:10" x14ac:dyDescent="0.25">
      <c r="D29" s="21">
        <f>SUM(D25:E27)</f>
        <v>14593000</v>
      </c>
      <c r="F29" s="21">
        <f>SUM(F27:J27)</f>
        <v>14593000</v>
      </c>
    </row>
  </sheetData>
  <mergeCells count="1">
    <mergeCell ref="B25:B27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koin ranting</vt:lpstr>
      <vt:lpstr>pengeluaran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2026-02-11T04:07:55Z</dcterms:created>
  <dcterms:modified xsi:type="dcterms:W3CDTF">2026-03-06T23:14:53Z</dcterms:modified>
</cp:coreProperties>
</file>