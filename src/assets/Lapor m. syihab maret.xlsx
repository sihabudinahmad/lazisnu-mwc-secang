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00"/>
  </bookViews>
  <sheets>
    <sheet name="koin ranting" sheetId="1" r:id="rId1"/>
    <sheet name="rinci" sheetId="2" r:id="rId2"/>
    <sheet name="masuk-kelu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<sst xmlns="http://schemas.openxmlformats.org/spreadsheetml/2006/main" count="169" uniqueCount="140">
  <si>
    <t>LAPORAN PENGHIMPUNAN</t>
  </si>
  <si>
    <t>KOIN NU UPZIS MWC SECANG</t>
  </si>
  <si>
    <t>PERIODE BULAN MARET TAHUN 2026</t>
  </si>
  <si>
    <t>No</t>
  </si>
  <si>
    <t xml:space="preserve">Nama Ranting </t>
  </si>
  <si>
    <t>Ketua Ranting</t>
  </si>
  <si>
    <t>Hasil Pengambilan</t>
  </si>
  <si>
    <t>Kotak Aktif</t>
  </si>
  <si>
    <t>Ujroh Pengambilan</t>
  </si>
  <si>
    <t>Hasil Bersih</t>
  </si>
  <si>
    <t>Bag PCNU 5%</t>
  </si>
  <si>
    <t>Bag MWCNU 25%</t>
  </si>
  <si>
    <t>Ops Ambulan 5%</t>
  </si>
  <si>
    <t>Bag Ranting 65%</t>
  </si>
  <si>
    <t>Pancuranmas</t>
  </si>
  <si>
    <t>FAUZI</t>
  </si>
  <si>
    <t>Candisari</t>
  </si>
  <si>
    <t>SHOLICHUDIN</t>
  </si>
  <si>
    <t>Pucang</t>
  </si>
  <si>
    <t>M.SHODIK</t>
  </si>
  <si>
    <t>Sidomulyo</t>
  </si>
  <si>
    <t>H.SUROSO</t>
  </si>
  <si>
    <t>Krincing</t>
  </si>
  <si>
    <t>M.KHALWANI</t>
  </si>
  <si>
    <t>Donomulyo</t>
  </si>
  <si>
    <t>FATUROCMAN</t>
  </si>
  <si>
    <t>Girikulon</t>
  </si>
  <si>
    <t>M.USULUDIN</t>
  </si>
  <si>
    <t>Kalijoso</t>
  </si>
  <si>
    <t>MUH.TABIIN</t>
  </si>
  <si>
    <t>Jambewangi</t>
  </si>
  <si>
    <t>HARSINI</t>
  </si>
  <si>
    <t>Ngabean</t>
  </si>
  <si>
    <t>ZAENAL</t>
  </si>
  <si>
    <t>Ngadirojo</t>
  </si>
  <si>
    <t>M.RIFAI</t>
  </si>
  <si>
    <t>Madusari</t>
  </si>
  <si>
    <t>MUNIF.A</t>
  </si>
  <si>
    <t>Payaman</t>
  </si>
  <si>
    <t>SAMSUL.F</t>
  </si>
  <si>
    <t>Secang</t>
  </si>
  <si>
    <t>SARMUJI</t>
  </si>
  <si>
    <t>Candiretno</t>
  </si>
  <si>
    <t>A.KHOLIQ</t>
  </si>
  <si>
    <t>Pirikan</t>
  </si>
  <si>
    <t>ROZALI USMAN</t>
  </si>
  <si>
    <t>Donorejo</t>
  </si>
  <si>
    <t>M FAIZIN</t>
  </si>
  <si>
    <t>Madyocondro</t>
  </si>
  <si>
    <t>M ASROR</t>
  </si>
  <si>
    <t>Karangkajen</t>
  </si>
  <si>
    <t>NUR HAMID</t>
  </si>
  <si>
    <t>Purwosari</t>
  </si>
  <si>
    <t>RIDWAN</t>
  </si>
  <si>
    <t>TOTAL</t>
  </si>
  <si>
    <t>Secang,     31 MARET 2026</t>
  </si>
  <si>
    <t>Mengetahui,</t>
  </si>
  <si>
    <t>Ketua UpzisNu MWC Secang</t>
  </si>
  <si>
    <t>Bendahara 1</t>
  </si>
  <si>
    <t>Anwari</t>
  </si>
  <si>
    <t>Retno Eko S, SE</t>
  </si>
  <si>
    <t>PENGELUARAN RINCI</t>
  </si>
  <si>
    <t>BULAN</t>
  </si>
  <si>
    <t>KETERANGAN</t>
  </si>
  <si>
    <t>TOTAL PENGELUARAN</t>
  </si>
  <si>
    <t>KESEHATAN 15 %</t>
  </si>
  <si>
    <t>PENDIDIKAN 25%</t>
  </si>
  <si>
    <t>SOS KEAGAMAAN 35%</t>
  </si>
  <si>
    <t>TANGGAP BENCANA 5%</t>
  </si>
  <si>
    <t>OPS LAZIS 20%</t>
  </si>
  <si>
    <t>Jan'26</t>
  </si>
  <si>
    <t>LP Ma'arif Untuk sokong MI pirikan 2</t>
  </si>
  <si>
    <t>Bensin ambil sayur 2x100.000</t>
  </si>
  <si>
    <t>Listrik Kantor (TF rek R)</t>
  </si>
  <si>
    <t>uang saku relawan aceh</t>
  </si>
  <si>
    <t>Donasi MI Pancuranmas</t>
  </si>
  <si>
    <t>Kalender 10xRp 11.000</t>
  </si>
  <si>
    <t>Rapat pengurus</t>
  </si>
  <si>
    <t>Kejurkab Pagar Nusa</t>
  </si>
  <si>
    <t>Rapat persiapan ramadhan</t>
  </si>
  <si>
    <t>seragam susulan taktikal</t>
  </si>
  <si>
    <t>Tranport raker  PC</t>
  </si>
  <si>
    <t>print out rek koran 25Lbr</t>
  </si>
  <si>
    <t>Paket data HP Lazis (rek R)</t>
  </si>
  <si>
    <t>TF P.Masrukhan uang banom,lembaga</t>
  </si>
  <si>
    <t xml:space="preserve">Mujahadah &amp; Pembekalan </t>
  </si>
  <si>
    <t>Bisaroh pemateri mujahadah</t>
  </si>
  <si>
    <t>Sosial Umroh KH Khudlori</t>
  </si>
  <si>
    <t>Plastik</t>
  </si>
  <si>
    <t>Piring/gelas/uborampe mujahadah</t>
  </si>
  <si>
    <t>Banner mujahadah</t>
  </si>
  <si>
    <t>bensin genset mujahadah</t>
  </si>
  <si>
    <t>Feb'26</t>
  </si>
  <si>
    <t>bensin ambil sayuran</t>
  </si>
  <si>
    <t>listrik kantor</t>
  </si>
  <si>
    <t>rapat koordinasi dengan MWC</t>
  </si>
  <si>
    <t>Penyelenggaraan lomba mewarnai ma'arif</t>
  </si>
  <si>
    <t>THR 2026</t>
  </si>
  <si>
    <t>Maret'26</t>
  </si>
  <si>
    <t>listrik kantor (rekR)</t>
  </si>
  <si>
    <t>Madrasah Amil PC</t>
  </si>
  <si>
    <t>servis laptop sekretaris</t>
  </si>
  <si>
    <t>Turba/Bukber madyocondro di rumah bu Kip</t>
  </si>
  <si>
    <t>nambai uang zakat</t>
  </si>
  <si>
    <t>banner mipik bareng</t>
  </si>
  <si>
    <t>Takziah ibukke P.sholihudin candisari</t>
  </si>
  <si>
    <t>pulsa hp lazis</t>
  </si>
  <si>
    <t>sosial besuk p yudi (rek R)</t>
  </si>
  <si>
    <t>sosial halbi KH Toha (rek R)</t>
  </si>
  <si>
    <t>UPZISNU CARE MWC SECANG 2026</t>
  </si>
  <si>
    <t>PROSENTASE PEMBAGIAN 4 PILAR DAN OPERASIONAL LAZIS</t>
  </si>
  <si>
    <t>POS KESEHATAN</t>
  </si>
  <si>
    <t>POS PENDIDIKAN</t>
  </si>
  <si>
    <t>POS SOSIAL KEAGAMAAN</t>
  </si>
  <si>
    <t>POS TANGGAP BENCANA</t>
  </si>
  <si>
    <t>OPERASIONAL LAZIS</t>
  </si>
  <si>
    <t>PEMASUKAN</t>
  </si>
  <si>
    <t>NO</t>
  </si>
  <si>
    <t xml:space="preserve">Hasil Bersih Lazis MWC 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</si>
  <si>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</si>
  <si>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</si>
  <si>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</si>
  <si>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</si>
  <si>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</si>
  <si>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</si>
  <si>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</si>
  <si>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</si>
  <si>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</si>
  <si>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</si>
  <si>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</si>
  <si>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</si>
  <si>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PENGELUARAN</t>
  </si>
  <si>
    <t>Tasyaruf</t>
  </si>
  <si>
    <t>Persiapan Tasyaruf 2026</t>
  </si>
  <si>
    <t>november</t>
  </si>
  <si>
    <t>Desember lapor 1</t>
  </si>
  <si>
    <t>Desember lapor 2</t>
  </si>
  <si>
    <t>TOTAL PENTASYARUFAN</t>
  </si>
  <si>
    <t>Saldo</t>
  </si>
  <si>
    <t>Secang, 31  Januari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</si>
</sst>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&quot;Rp&quot;* #,##0_-;\-&quot;Rp&quot;* #,##0_-;_-&quot;Rp&quot;* &quot;-&quot;_-;_-@_-"/>
  </numFmts>
  <fonts count="35">
    <font>
      <sz val="11"/>
      <color theme="1"/>
      <name val="Calibri"/>
      <charset val="1"/>
      <scheme val="minor"/>
    </font>
    <font>
      <b/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6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76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76" fontId="3" fillId="0" borderId="0" xfId="0" applyNumberFormat="1" applyFont="1" applyBorder="1"/>
    <xf numFmtId="176" fontId="4" fillId="0" borderId="1" xfId="0" applyNumberFormat="1" applyFont="1" applyBorder="1"/>
    <xf numFmtId="0" fontId="1" fillId="0" borderId="1" xfId="0" applyFont="1" applyBorder="1"/>
    <xf numFmtId="176" fontId="1" fillId="0" borderId="1" xfId="0" applyNumberFormat="1" applyFont="1" applyBorder="1"/>
    <xf numFmtId="0" fontId="3" fillId="0" borderId="0" xfId="0" applyFont="1" applyBorder="1"/>
    <xf numFmtId="0" fontId="1" fillId="0" borderId="0" xfId="0" applyFont="1" applyBorder="1"/>
    <xf numFmtId="176" fontId="1" fillId="0" borderId="0" xfId="0" applyNumberFormat="1" applyFont="1" applyBorder="1"/>
    <xf numFmtId="0" fontId="2" fillId="0" borderId="0" xfId="0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/>
    <xf numFmtId="176" fontId="2" fillId="0" borderId="3" xfId="0" applyNumberFormat="1" applyFont="1" applyBorder="1"/>
    <xf numFmtId="0" fontId="3" fillId="0" borderId="1" xfId="0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8" fillId="0" borderId="1" xfId="0" applyFont="1" applyBorder="1"/>
    <xf numFmtId="0" fontId="0" fillId="0" borderId="1" xfId="0" applyBorder="1"/>
    <xf numFmtId="176" fontId="0" fillId="0" borderId="1" xfId="0" applyNumberFormat="1" applyBorder="1"/>
    <xf numFmtId="58" fontId="0" fillId="0" borderId="1" xfId="0" applyNumberFormat="1" applyBorder="1"/>
    <xf numFmtId="176" fontId="0" fillId="0" borderId="1" xfId="0" applyNumberFormat="1" applyFont="1" applyBorder="1"/>
    <xf numFmtId="176" fontId="0" fillId="0" borderId="1" xfId="0" applyNumberFormat="1" applyFill="1" applyBorder="1"/>
    <xf numFmtId="176" fontId="0" fillId="2" borderId="1" xfId="0" applyNumberFormat="1" applyFill="1" applyBorder="1"/>
    <xf numFmtId="0" fontId="9" fillId="0" borderId="1" xfId="0" applyFont="1" applyBorder="1"/>
    <xf numFmtId="176" fontId="9" fillId="0" borderId="1" xfId="0" applyNumberFormat="1" applyFont="1" applyBorder="1"/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4" xfId="0" applyFont="1" applyBorder="1" applyAlignment="1">
      <alignment horizontal="left"/>
    </xf>
    <xf numFmtId="176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176" fontId="12" fillId="0" borderId="1" xfId="0" applyNumberFormat="1" applyFont="1" applyBorder="1"/>
    <xf numFmtId="0" fontId="14" fillId="0" borderId="4" xfId="0" applyFont="1" applyBorder="1" applyAlignment="1">
      <alignment horizontal="left"/>
    </xf>
    <xf numFmtId="0" fontId="11" fillId="0" borderId="1" xfId="0" applyFont="1" applyBorder="1"/>
    <xf numFmtId="176" fontId="11" fillId="0" borderId="1" xfId="0" applyNumberFormat="1" applyFont="1" applyBorder="1"/>
    <xf numFmtId="0" fontId="12" fillId="0" borderId="0" xfId="0" applyFont="1"/>
    <xf numFmtId="176" fontId="12" fillId="0" borderId="0" xfId="0" applyNumberFormat="1" applyFont="1" applyFill="1" applyBorder="1"/>
    <xf numFmtId="0" fontId="12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371475</xdr:colOff>
      <xdr:row>34</xdr:row>
      <xdr:rowOff>19050</xdr:rowOff>
    </xdr:from>
    <xdr:ext cx="1657351" cy="1286996"/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0" t="40691" r="35467" b="37537"/>
        <a:stretch>
          <a:fillRect/>
        </a:stretch>
      </xdr:blipFill>
      <xdr:spPr>
        <a:xfrm>
          <a:off x="6269990" y="7303770"/>
          <a:ext cx="1657350" cy="1286510"/>
        </a:xfrm>
        <a:prstGeom prst="rect">
          <a:avLst/>
        </a:prstGeom>
      </xdr:spPr>
    </xdr:pic>
    <xdr:clientData/>
  </xdr:oneCellAnchor>
  <xdr:twoCellAnchor editAs="oneCell">
    <xdr:from>
      <xdr:col>8</xdr:col>
      <xdr:colOff>38100</xdr:colOff>
      <xdr:row>33</xdr:row>
      <xdr:rowOff>85725</xdr:rowOff>
    </xdr:from>
    <xdr:to>
      <xdr:col>8</xdr:col>
      <xdr:colOff>1066801</xdr:colOff>
      <xdr:row>40</xdr:row>
      <xdr:rowOff>73026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6080" y="7157085"/>
          <a:ext cx="1028700" cy="1480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66675</xdr:colOff>
      <xdr:row>51</xdr:row>
      <xdr:rowOff>76200</xdr:rowOff>
    </xdr:from>
    <xdr:to>
      <xdr:col>6</xdr:col>
      <xdr:colOff>612606</xdr:colOff>
      <xdr:row>55</xdr:row>
      <xdr:rowOff>93855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73" r="7344" b="18221"/>
        <a:stretch>
          <a:fillRect/>
        </a:stretch>
      </xdr:blipFill>
      <xdr:spPr>
        <a:xfrm>
          <a:off x="7486650" y="11104880"/>
          <a:ext cx="545465" cy="870585"/>
        </a:xfrm>
        <a:prstGeom prst="rect">
          <a:avLst/>
        </a:prstGeom>
      </xdr:spPr>
    </xdr:pic>
    <xdr:clientData/>
  </xdr:twoCellAnchor>
  <xdr:twoCellAnchor editAs="oneCell">
    <xdr:from>
      <xdr:col>2</xdr:col>
      <xdr:colOff>1276350</xdr:colOff>
      <xdr:row>51</xdr:row>
      <xdr:rowOff>9526</xdr:rowOff>
    </xdr:from>
    <xdr:to>
      <xdr:col>4</xdr:col>
      <xdr:colOff>190500</xdr:colOff>
      <xdr:row>56</xdr:row>
      <xdr:rowOff>66367</xdr:rowOff>
    </xdr:to>
    <xdr:pic>
      <xdr:nvPicPr>
        <xdr:cNvPr id="3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991" r="34400" b="39039"/>
        <a:stretch>
          <a:fillRect/>
        </a:stretch>
      </xdr:blipFill>
      <xdr:spPr>
        <a:xfrm>
          <a:off x="2855595" y="11038205"/>
          <a:ext cx="1677670" cy="1123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9"/>
  <sheetViews>
    <sheetView tabSelected="1" workbookViewId="0">
      <selection activeCell="H5" sqref="H5"/>
    </sheetView>
  </sheetViews>
  <sheetFormatPr defaultColWidth="9" defaultRowHeight="16.8"/>
  <cols>
    <col min="2" max="2" width="15.7109375" customWidth="1"/>
    <col min="3" max="3" width="16.140625" customWidth="1"/>
    <col min="4" max="4" width="19.859375" customWidth="1"/>
    <col min="5" max="5" width="11.859375" customWidth="1"/>
    <col min="6" max="6" width="19.5703125" customWidth="1"/>
    <col min="7" max="7" width="19.4296875" customWidth="1"/>
    <col min="8" max="8" width="17.7109375" customWidth="1"/>
    <col min="9" max="9" width="18.4296875" customWidth="1"/>
    <col min="10" max="10" width="19.859375" customWidth="1"/>
    <col min="11" max="11" width="18.4296875" customWidth="1"/>
  </cols>
  <sheetData>
    <row r="2" ht="17.6" spans="1:11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1"/>
    </row>
    <row r="3" ht="17.6" spans="1:11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1"/>
    </row>
    <row r="4" ht="17.6" spans="1:11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1"/>
    </row>
    <row r="7" spans="1:11">
      <c r="A7" s="42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43" t="s">
        <v>3</v>
      </c>
      <c r="B8" s="43" t="s">
        <v>4</v>
      </c>
      <c r="C8" s="43" t="s">
        <v>5</v>
      </c>
      <c r="D8" s="43" t="s">
        <v>6</v>
      </c>
      <c r="E8" s="43" t="s">
        <v>7</v>
      </c>
      <c r="F8" s="43" t="s">
        <v>8</v>
      </c>
      <c r="G8" s="43" t="s">
        <v>9</v>
      </c>
      <c r="H8" s="43" t="s">
        <v>10</v>
      </c>
      <c r="I8" s="43" t="s">
        <v>11</v>
      </c>
      <c r="J8" s="43" t="s">
        <v>12</v>
      </c>
      <c r="K8" s="43" t="s">
        <v>13</v>
      </c>
    </row>
    <row r="9" spans="1:11">
      <c r="A9" s="44">
        <v>1</v>
      </c>
      <c r="B9" s="44">
        <v>2</v>
      </c>
      <c r="C9" s="44">
        <v>3</v>
      </c>
      <c r="D9" s="44">
        <v>4</v>
      </c>
      <c r="E9" s="44">
        <v>5</v>
      </c>
      <c r="F9" s="44">
        <v>6</v>
      </c>
      <c r="G9" s="44">
        <v>7</v>
      </c>
      <c r="H9" s="44">
        <v>8</v>
      </c>
      <c r="I9" s="44">
        <v>9</v>
      </c>
      <c r="J9" s="44">
        <v>10</v>
      </c>
      <c r="K9" s="44">
        <v>11</v>
      </c>
    </row>
    <row r="10" spans="1:11">
      <c r="A10" s="45">
        <v>1</v>
      </c>
      <c r="B10" s="46" t="s">
        <v>14</v>
      </c>
      <c r="C10" s="47" t="s">
        <v>15</v>
      </c>
      <c r="D10" s="48">
        <v>2481000</v>
      </c>
      <c r="E10" s="49">
        <v>210</v>
      </c>
      <c r="F10" s="48">
        <f>SUM(E10*1000)</f>
        <v>210000</v>
      </c>
      <c r="G10" s="50">
        <f>SUM(D10-F10)</f>
        <v>2271000</v>
      </c>
      <c r="H10" s="50">
        <f>SUM(5/100*G10)</f>
        <v>113550</v>
      </c>
      <c r="I10" s="50">
        <f>SUM(25/100*G10)</f>
        <v>567750</v>
      </c>
      <c r="J10" s="50">
        <f>SUM(5/100*G10)</f>
        <v>113550</v>
      </c>
      <c r="K10" s="50">
        <f>SUM(65/100*G10)</f>
        <v>1476150</v>
      </c>
    </row>
    <row r="11" spans="1:11">
      <c r="A11" s="45">
        <v>2</v>
      </c>
      <c r="B11" s="46" t="s">
        <v>16</v>
      </c>
      <c r="C11" s="47" t="s">
        <v>17</v>
      </c>
      <c r="D11" s="48">
        <v>1725000</v>
      </c>
      <c r="E11" s="49">
        <v>183</v>
      </c>
      <c r="F11" s="48">
        <f t="shared" ref="F11:F29" si="0">SUM(E11*1000)</f>
        <v>183000</v>
      </c>
      <c r="G11" s="50">
        <f t="shared" ref="G11:G29" si="1">SUM(D11-F11)</f>
        <v>1542000</v>
      </c>
      <c r="H11" s="50">
        <f t="shared" ref="H11:H29" si="2">SUM(5/100*G11)</f>
        <v>77100</v>
      </c>
      <c r="I11" s="50">
        <f t="shared" ref="I11:I29" si="3">SUM(25/100*G11)</f>
        <v>385500</v>
      </c>
      <c r="J11" s="50">
        <f t="shared" ref="J11:J29" si="4">SUM(5/100*G11)</f>
        <v>77100</v>
      </c>
      <c r="K11" s="50">
        <f t="shared" ref="K11:K29" si="5">SUM(65/100*G11)</f>
        <v>1002300</v>
      </c>
    </row>
    <row r="12" spans="1:11">
      <c r="A12" s="45">
        <v>3</v>
      </c>
      <c r="B12" s="46" t="s">
        <v>18</v>
      </c>
      <c r="C12" s="47" t="s">
        <v>19</v>
      </c>
      <c r="D12" s="48">
        <v>2367200</v>
      </c>
      <c r="E12" s="49">
        <v>271</v>
      </c>
      <c r="F12" s="48">
        <f t="shared" si="0"/>
        <v>271000</v>
      </c>
      <c r="G12" s="50">
        <f t="shared" si="1"/>
        <v>2096200</v>
      </c>
      <c r="H12" s="50">
        <f t="shared" si="2"/>
        <v>104810</v>
      </c>
      <c r="I12" s="50">
        <f t="shared" si="3"/>
        <v>524050</v>
      </c>
      <c r="J12" s="50">
        <f t="shared" si="4"/>
        <v>104810</v>
      </c>
      <c r="K12" s="50">
        <f t="shared" si="5"/>
        <v>1362530</v>
      </c>
    </row>
    <row r="13" spans="1:11">
      <c r="A13" s="45">
        <v>4</v>
      </c>
      <c r="B13" s="46" t="s">
        <v>20</v>
      </c>
      <c r="C13" s="47" t="s">
        <v>21</v>
      </c>
      <c r="D13" s="48">
        <v>2053700</v>
      </c>
      <c r="E13" s="49">
        <v>356</v>
      </c>
      <c r="F13" s="48">
        <f t="shared" si="0"/>
        <v>356000</v>
      </c>
      <c r="G13" s="50">
        <f t="shared" si="1"/>
        <v>1697700</v>
      </c>
      <c r="H13" s="50">
        <f t="shared" si="2"/>
        <v>84885</v>
      </c>
      <c r="I13" s="50">
        <f t="shared" si="3"/>
        <v>424425</v>
      </c>
      <c r="J13" s="50">
        <f t="shared" si="4"/>
        <v>84885</v>
      </c>
      <c r="K13" s="50">
        <f t="shared" si="5"/>
        <v>1103505</v>
      </c>
    </row>
    <row r="14" spans="1:11">
      <c r="A14" s="45">
        <v>5</v>
      </c>
      <c r="B14" s="46" t="s">
        <v>22</v>
      </c>
      <c r="C14" s="47" t="s">
        <v>23</v>
      </c>
      <c r="D14" s="48">
        <v>5428800</v>
      </c>
      <c r="E14" s="49">
        <v>380</v>
      </c>
      <c r="F14" s="48">
        <f t="shared" si="0"/>
        <v>380000</v>
      </c>
      <c r="G14" s="50">
        <f t="shared" si="1"/>
        <v>5048800</v>
      </c>
      <c r="H14" s="50">
        <f t="shared" si="2"/>
        <v>252440</v>
      </c>
      <c r="I14" s="50">
        <f t="shared" si="3"/>
        <v>1262200</v>
      </c>
      <c r="J14" s="50">
        <f t="shared" si="4"/>
        <v>252440</v>
      </c>
      <c r="K14" s="50">
        <f t="shared" si="5"/>
        <v>3281720</v>
      </c>
    </row>
    <row r="15" spans="1:11">
      <c r="A15" s="45">
        <v>6</v>
      </c>
      <c r="B15" s="46" t="s">
        <v>24</v>
      </c>
      <c r="C15" s="47" t="s">
        <v>25</v>
      </c>
      <c r="D15" s="48">
        <v>2615000</v>
      </c>
      <c r="E15" s="49">
        <v>197</v>
      </c>
      <c r="F15" s="48">
        <f t="shared" si="0"/>
        <v>197000</v>
      </c>
      <c r="G15" s="50">
        <f t="shared" si="1"/>
        <v>2418000</v>
      </c>
      <c r="H15" s="50">
        <f t="shared" si="2"/>
        <v>120900</v>
      </c>
      <c r="I15" s="50">
        <f t="shared" si="3"/>
        <v>604500</v>
      </c>
      <c r="J15" s="50">
        <f t="shared" si="4"/>
        <v>120900</v>
      </c>
      <c r="K15" s="50">
        <f t="shared" si="5"/>
        <v>1571700</v>
      </c>
    </row>
    <row r="16" spans="1:11">
      <c r="A16" s="45">
        <v>7</v>
      </c>
      <c r="B16" s="46" t="s">
        <v>26</v>
      </c>
      <c r="C16" s="47" t="s">
        <v>27</v>
      </c>
      <c r="D16" s="48">
        <v>1750000</v>
      </c>
      <c r="E16" s="49">
        <v>150</v>
      </c>
      <c r="F16" s="48">
        <f t="shared" si="0"/>
        <v>150000</v>
      </c>
      <c r="G16" s="50">
        <f t="shared" si="1"/>
        <v>1600000</v>
      </c>
      <c r="H16" s="50">
        <f t="shared" si="2"/>
        <v>80000</v>
      </c>
      <c r="I16" s="50">
        <f t="shared" si="3"/>
        <v>400000</v>
      </c>
      <c r="J16" s="50">
        <f t="shared" si="4"/>
        <v>80000</v>
      </c>
      <c r="K16" s="50">
        <f t="shared" si="5"/>
        <v>1040000</v>
      </c>
    </row>
    <row r="17" spans="1:11">
      <c r="A17" s="45">
        <v>8</v>
      </c>
      <c r="B17" s="46" t="s">
        <v>28</v>
      </c>
      <c r="C17" s="47" t="s">
        <v>29</v>
      </c>
      <c r="D17" s="48">
        <v>4760100</v>
      </c>
      <c r="E17" s="49">
        <v>311</v>
      </c>
      <c r="F17" s="48">
        <f t="shared" si="0"/>
        <v>311000</v>
      </c>
      <c r="G17" s="50">
        <f t="shared" si="1"/>
        <v>4449100</v>
      </c>
      <c r="H17" s="50">
        <f t="shared" si="2"/>
        <v>222455</v>
      </c>
      <c r="I17" s="50">
        <f t="shared" si="3"/>
        <v>1112275</v>
      </c>
      <c r="J17" s="50">
        <f t="shared" si="4"/>
        <v>222455</v>
      </c>
      <c r="K17" s="50">
        <f t="shared" si="5"/>
        <v>2891915</v>
      </c>
    </row>
    <row r="18" spans="1:11">
      <c r="A18" s="45">
        <v>9</v>
      </c>
      <c r="B18" s="46" t="s">
        <v>30</v>
      </c>
      <c r="C18" s="47" t="s">
        <v>31</v>
      </c>
      <c r="D18" s="48">
        <v>1031000</v>
      </c>
      <c r="E18" s="49">
        <v>31</v>
      </c>
      <c r="F18" s="48">
        <f t="shared" si="0"/>
        <v>31000</v>
      </c>
      <c r="G18" s="50">
        <f t="shared" si="1"/>
        <v>1000000</v>
      </c>
      <c r="H18" s="50">
        <f t="shared" si="2"/>
        <v>50000</v>
      </c>
      <c r="I18" s="50">
        <f t="shared" si="3"/>
        <v>250000</v>
      </c>
      <c r="J18" s="50">
        <f t="shared" si="4"/>
        <v>50000</v>
      </c>
      <c r="K18" s="50">
        <f t="shared" si="5"/>
        <v>650000</v>
      </c>
    </row>
    <row r="19" spans="1:11">
      <c r="A19" s="45">
        <v>10</v>
      </c>
      <c r="B19" s="46" t="s">
        <v>32</v>
      </c>
      <c r="C19" s="47" t="s">
        <v>33</v>
      </c>
      <c r="D19" s="48">
        <v>2531000</v>
      </c>
      <c r="E19" s="49">
        <v>295</v>
      </c>
      <c r="F19" s="48">
        <f t="shared" si="0"/>
        <v>295000</v>
      </c>
      <c r="G19" s="50">
        <f t="shared" si="1"/>
        <v>2236000</v>
      </c>
      <c r="H19" s="50">
        <f t="shared" si="2"/>
        <v>111800</v>
      </c>
      <c r="I19" s="50">
        <f t="shared" si="3"/>
        <v>559000</v>
      </c>
      <c r="J19" s="50">
        <f t="shared" si="4"/>
        <v>111800</v>
      </c>
      <c r="K19" s="50">
        <f t="shared" si="5"/>
        <v>1453400</v>
      </c>
    </row>
    <row r="20" spans="1:11">
      <c r="A20" s="45">
        <v>11</v>
      </c>
      <c r="B20" s="46" t="s">
        <v>34</v>
      </c>
      <c r="C20" s="47" t="s">
        <v>35</v>
      </c>
      <c r="D20" s="48">
        <v>3964600</v>
      </c>
      <c r="E20" s="49">
        <v>214</v>
      </c>
      <c r="F20" s="48">
        <f t="shared" si="0"/>
        <v>214000</v>
      </c>
      <c r="G20" s="50">
        <f t="shared" si="1"/>
        <v>3750600</v>
      </c>
      <c r="H20" s="50">
        <f t="shared" si="2"/>
        <v>187530</v>
      </c>
      <c r="I20" s="50">
        <f t="shared" si="3"/>
        <v>937650</v>
      </c>
      <c r="J20" s="50">
        <f t="shared" si="4"/>
        <v>187530</v>
      </c>
      <c r="K20" s="50">
        <f t="shared" si="5"/>
        <v>2437890</v>
      </c>
    </row>
    <row r="21" spans="1:11">
      <c r="A21" s="45">
        <v>12</v>
      </c>
      <c r="B21" s="46" t="s">
        <v>36</v>
      </c>
      <c r="C21" s="47" t="s">
        <v>37</v>
      </c>
      <c r="D21" s="48">
        <v>3449000</v>
      </c>
      <c r="E21" s="49">
        <v>274</v>
      </c>
      <c r="F21" s="48">
        <f t="shared" si="0"/>
        <v>274000</v>
      </c>
      <c r="G21" s="50">
        <f t="shared" si="1"/>
        <v>3175000</v>
      </c>
      <c r="H21" s="50">
        <f t="shared" si="2"/>
        <v>158750</v>
      </c>
      <c r="I21" s="50">
        <f t="shared" si="3"/>
        <v>793750</v>
      </c>
      <c r="J21" s="50">
        <f t="shared" si="4"/>
        <v>158750</v>
      </c>
      <c r="K21" s="50">
        <f t="shared" si="5"/>
        <v>2063750</v>
      </c>
    </row>
    <row r="22" spans="1:11">
      <c r="A22" s="45">
        <v>13</v>
      </c>
      <c r="B22" s="46" t="s">
        <v>38</v>
      </c>
      <c r="C22" s="47" t="s">
        <v>39</v>
      </c>
      <c r="D22" s="48">
        <v>16000500</v>
      </c>
      <c r="E22" s="49">
        <v>799</v>
      </c>
      <c r="F22" s="48">
        <f t="shared" si="0"/>
        <v>799000</v>
      </c>
      <c r="G22" s="50">
        <f t="shared" si="1"/>
        <v>15201500</v>
      </c>
      <c r="H22" s="50">
        <f t="shared" si="2"/>
        <v>760075</v>
      </c>
      <c r="I22" s="50">
        <f t="shared" si="3"/>
        <v>3800375</v>
      </c>
      <c r="J22" s="50">
        <f t="shared" si="4"/>
        <v>760075</v>
      </c>
      <c r="K22" s="50">
        <f t="shared" si="5"/>
        <v>9880975</v>
      </c>
    </row>
    <row r="23" spans="1:11">
      <c r="A23" s="45">
        <v>14</v>
      </c>
      <c r="B23" s="46" t="s">
        <v>40</v>
      </c>
      <c r="C23" s="47" t="s">
        <v>41</v>
      </c>
      <c r="D23" s="48">
        <v>2826000</v>
      </c>
      <c r="E23" s="49">
        <v>314</v>
      </c>
      <c r="F23" s="48">
        <f t="shared" si="0"/>
        <v>314000</v>
      </c>
      <c r="G23" s="50">
        <f t="shared" si="1"/>
        <v>2512000</v>
      </c>
      <c r="H23" s="50">
        <f t="shared" si="2"/>
        <v>125600</v>
      </c>
      <c r="I23" s="50">
        <f t="shared" si="3"/>
        <v>628000</v>
      </c>
      <c r="J23" s="50">
        <f t="shared" si="4"/>
        <v>125600</v>
      </c>
      <c r="K23" s="50">
        <f t="shared" si="5"/>
        <v>1632800</v>
      </c>
    </row>
    <row r="24" spans="1:11">
      <c r="A24" s="45">
        <v>15</v>
      </c>
      <c r="B24" s="46" t="s">
        <v>42</v>
      </c>
      <c r="C24" s="47" t="s">
        <v>43</v>
      </c>
      <c r="D24" s="48">
        <v>5807000</v>
      </c>
      <c r="E24" s="49">
        <v>603</v>
      </c>
      <c r="F24" s="48">
        <f t="shared" si="0"/>
        <v>603000</v>
      </c>
      <c r="G24" s="50">
        <f t="shared" si="1"/>
        <v>5204000</v>
      </c>
      <c r="H24" s="50">
        <f t="shared" si="2"/>
        <v>260200</v>
      </c>
      <c r="I24" s="50">
        <f t="shared" si="3"/>
        <v>1301000</v>
      </c>
      <c r="J24" s="50">
        <f t="shared" si="4"/>
        <v>260200</v>
      </c>
      <c r="K24" s="50">
        <f t="shared" si="5"/>
        <v>3382600</v>
      </c>
    </row>
    <row r="25" spans="1:11">
      <c r="A25" s="45">
        <v>16</v>
      </c>
      <c r="B25" s="46" t="s">
        <v>44</v>
      </c>
      <c r="C25" s="47" t="s">
        <v>45</v>
      </c>
      <c r="D25" s="48">
        <v>2041100</v>
      </c>
      <c r="E25" s="49">
        <v>183</v>
      </c>
      <c r="F25" s="48">
        <f t="shared" si="0"/>
        <v>183000</v>
      </c>
      <c r="G25" s="50">
        <f t="shared" si="1"/>
        <v>1858100</v>
      </c>
      <c r="H25" s="50">
        <f t="shared" si="2"/>
        <v>92905</v>
      </c>
      <c r="I25" s="50">
        <f t="shared" si="3"/>
        <v>464525</v>
      </c>
      <c r="J25" s="50">
        <f t="shared" si="4"/>
        <v>92905</v>
      </c>
      <c r="K25" s="50">
        <f t="shared" si="5"/>
        <v>1207765</v>
      </c>
    </row>
    <row r="26" spans="1:11">
      <c r="A26" s="45">
        <v>17</v>
      </c>
      <c r="B26" s="46" t="s">
        <v>46</v>
      </c>
      <c r="C26" s="47" t="s">
        <v>47</v>
      </c>
      <c r="D26" s="48">
        <v>2792000</v>
      </c>
      <c r="E26" s="49">
        <v>180</v>
      </c>
      <c r="F26" s="48">
        <f t="shared" si="0"/>
        <v>180000</v>
      </c>
      <c r="G26" s="50">
        <f t="shared" si="1"/>
        <v>2612000</v>
      </c>
      <c r="H26" s="50">
        <f t="shared" si="2"/>
        <v>130600</v>
      </c>
      <c r="I26" s="50">
        <f t="shared" si="3"/>
        <v>653000</v>
      </c>
      <c r="J26" s="50">
        <f t="shared" si="4"/>
        <v>130600</v>
      </c>
      <c r="K26" s="50">
        <f t="shared" si="5"/>
        <v>1697800</v>
      </c>
    </row>
    <row r="27" spans="1:11">
      <c r="A27" s="45">
        <v>18</v>
      </c>
      <c r="B27" s="46" t="s">
        <v>48</v>
      </c>
      <c r="C27" s="47" t="s">
        <v>49</v>
      </c>
      <c r="D27" s="48">
        <v>0</v>
      </c>
      <c r="E27" s="49">
        <v>0</v>
      </c>
      <c r="F27" s="48">
        <f t="shared" si="0"/>
        <v>0</v>
      </c>
      <c r="G27" s="50">
        <f t="shared" si="1"/>
        <v>0</v>
      </c>
      <c r="H27" s="50">
        <f t="shared" si="2"/>
        <v>0</v>
      </c>
      <c r="I27" s="50">
        <f t="shared" si="3"/>
        <v>0</v>
      </c>
      <c r="J27" s="50">
        <f t="shared" si="4"/>
        <v>0</v>
      </c>
      <c r="K27" s="50">
        <f t="shared" si="5"/>
        <v>0</v>
      </c>
    </row>
    <row r="28" spans="1:11">
      <c r="A28" s="45">
        <v>19</v>
      </c>
      <c r="B28" s="46" t="s">
        <v>50</v>
      </c>
      <c r="C28" s="51" t="s">
        <v>51</v>
      </c>
      <c r="D28" s="48">
        <v>0</v>
      </c>
      <c r="E28" s="49">
        <v>0</v>
      </c>
      <c r="F28" s="48">
        <f t="shared" si="0"/>
        <v>0</v>
      </c>
      <c r="G28" s="50">
        <f t="shared" si="1"/>
        <v>0</v>
      </c>
      <c r="H28" s="50">
        <f t="shared" si="2"/>
        <v>0</v>
      </c>
      <c r="I28" s="50">
        <f t="shared" si="3"/>
        <v>0</v>
      </c>
      <c r="J28" s="50">
        <f t="shared" si="4"/>
        <v>0</v>
      </c>
      <c r="K28" s="50">
        <f t="shared" si="5"/>
        <v>0</v>
      </c>
    </row>
    <row r="29" spans="1:11">
      <c r="A29" s="45">
        <v>20</v>
      </c>
      <c r="B29" s="46" t="s">
        <v>52</v>
      </c>
      <c r="C29" s="51" t="s">
        <v>53</v>
      </c>
      <c r="D29" s="48">
        <v>0</v>
      </c>
      <c r="E29" s="49">
        <v>0</v>
      </c>
      <c r="F29" s="48">
        <f t="shared" si="0"/>
        <v>0</v>
      </c>
      <c r="G29" s="50">
        <f t="shared" si="1"/>
        <v>0</v>
      </c>
      <c r="H29" s="50">
        <f t="shared" si="2"/>
        <v>0</v>
      </c>
      <c r="I29" s="50">
        <f t="shared" si="3"/>
        <v>0</v>
      </c>
      <c r="J29" s="50">
        <f t="shared" si="4"/>
        <v>0</v>
      </c>
      <c r="K29" s="50">
        <f t="shared" si="5"/>
        <v>0</v>
      </c>
    </row>
    <row r="30" spans="1:11">
      <c r="A30" s="46"/>
      <c r="B30" s="52" t="s">
        <v>54</v>
      </c>
      <c r="C30" s="52"/>
      <c r="D30" s="53">
        <f t="shared" ref="D30:K30" si="6">SUM(D10:D29)</f>
        <v>63623000</v>
      </c>
      <c r="E30" s="53">
        <f t="shared" si="6"/>
        <v>4951</v>
      </c>
      <c r="F30" s="53">
        <f t="shared" si="6"/>
        <v>4951000</v>
      </c>
      <c r="G30" s="53">
        <f t="shared" si="6"/>
        <v>58672000</v>
      </c>
      <c r="H30" s="53">
        <f t="shared" si="6"/>
        <v>2933600</v>
      </c>
      <c r="I30" s="53">
        <f t="shared" si="6"/>
        <v>14668000</v>
      </c>
      <c r="J30" s="53">
        <f t="shared" si="6"/>
        <v>2933600</v>
      </c>
      <c r="K30" s="53">
        <f t="shared" si="6"/>
        <v>38136800</v>
      </c>
    </row>
    <row r="31" spans="1:11">
      <c r="A31" s="54"/>
      <c r="B31" s="54"/>
      <c r="C31" s="54"/>
      <c r="D31" s="55"/>
      <c r="E31" s="54"/>
      <c r="F31" s="54"/>
      <c r="G31" s="54"/>
      <c r="H31" s="54"/>
      <c r="I31" s="54"/>
      <c r="J31" s="54"/>
      <c r="K31" s="54"/>
    </row>
    <row r="32" spans="1:11">
      <c r="A32" s="54"/>
      <c r="B32" s="54"/>
      <c r="C32" s="54"/>
      <c r="D32" s="55"/>
      <c r="E32" s="54"/>
      <c r="F32" s="54"/>
      <c r="G32" s="54"/>
      <c r="H32" s="54"/>
      <c r="I32" s="54" t="s">
        <v>55</v>
      </c>
      <c r="J32" s="54"/>
      <c r="K32" s="54"/>
    </row>
    <row r="33" spans="1:1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</row>
    <row r="34" spans="1:11">
      <c r="A34" s="54"/>
      <c r="B34" s="54"/>
      <c r="C34" s="54"/>
      <c r="D34" s="54"/>
      <c r="E34" s="54"/>
      <c r="F34" s="54"/>
      <c r="G34" s="54"/>
      <c r="H34" s="54"/>
      <c r="I34" s="54" t="s">
        <v>56</v>
      </c>
      <c r="J34" s="54"/>
      <c r="K34" s="54"/>
    </row>
    <row r="35" spans="1:11">
      <c r="A35" s="54"/>
      <c r="B35" s="54"/>
      <c r="C35" s="54"/>
      <c r="D35" s="54"/>
      <c r="E35" s="54"/>
      <c r="F35" s="54" t="s">
        <v>57</v>
      </c>
      <c r="G35" s="54"/>
      <c r="H35" s="54"/>
      <c r="I35" s="54" t="s">
        <v>58</v>
      </c>
      <c r="J35" s="54"/>
      <c r="K35" s="54"/>
    </row>
    <row r="36" spans="1:1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spans="1:1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</row>
    <row r="38" spans="1:1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</row>
    <row r="39" spans="1:11">
      <c r="A39" s="54"/>
      <c r="B39" s="54"/>
      <c r="C39" s="54"/>
      <c r="D39" s="54"/>
      <c r="E39" s="54"/>
      <c r="F39" s="56" t="s">
        <v>59</v>
      </c>
      <c r="G39" s="54"/>
      <c r="H39" s="54"/>
      <c r="I39" s="54" t="s">
        <v>60</v>
      </c>
      <c r="J39" s="54"/>
      <c r="K39" s="54"/>
    </row>
  </sheetData>
  <mergeCells count="3">
    <mergeCell ref="A2:J2"/>
    <mergeCell ref="A3:J3"/>
    <mergeCell ref="A4:J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opLeftCell="A22" workbookViewId="0">
      <selection activeCell="C7" sqref="C7"/>
    </sheetView>
  </sheetViews>
  <sheetFormatPr defaultColWidth="9" defaultRowHeight="16.8" outlineLevelCol="7"/>
  <cols>
    <col min="1" max="1" width="15.5703125" customWidth="1"/>
    <col min="2" max="2" width="34.7109375" customWidth="1"/>
    <col min="3" max="3" width="20.7109375" customWidth="1"/>
    <col min="4" max="4" width="18.2890625" customWidth="1"/>
    <col min="5" max="5" width="18.4296875" customWidth="1"/>
    <col min="6" max="6" width="22.2890625" customWidth="1"/>
    <col min="7" max="7" width="18.859375" customWidth="1"/>
    <col min="8" max="8" width="17.140625" customWidth="1"/>
  </cols>
  <sheetData>
    <row r="1" customFormat="1" ht="23.2" spans="1:8">
      <c r="A1" s="30" t="s">
        <v>61</v>
      </c>
    </row>
    <row r="2" spans="1:8">
      <c r="A2" s="31" t="s">
        <v>62</v>
      </c>
      <c r="B2" s="31" t="s">
        <v>63</v>
      </c>
      <c r="C2" s="31" t="s">
        <v>64</v>
      </c>
      <c r="D2" s="31" t="s">
        <v>65</v>
      </c>
      <c r="E2" s="31" t="s">
        <v>66</v>
      </c>
      <c r="F2" s="31" t="s">
        <v>67</v>
      </c>
      <c r="G2" s="31" t="s">
        <v>68</v>
      </c>
      <c r="H2" s="31" t="s">
        <v>69</v>
      </c>
    </row>
    <row r="3" spans="1:8">
      <c r="A3" s="32" t="s">
        <v>70</v>
      </c>
      <c r="B3" s="32"/>
      <c r="C3" s="33"/>
      <c r="D3" s="32"/>
      <c r="E3" s="33"/>
      <c r="F3" s="32"/>
      <c r="G3" s="32"/>
      <c r="H3" s="32"/>
    </row>
    <row r="4" spans="1:8">
      <c r="A4" s="34">
        <v>46028</v>
      </c>
      <c r="B4" s="32" t="s">
        <v>71</v>
      </c>
      <c r="C4" s="33"/>
      <c r="D4" s="32"/>
      <c r="E4" s="33">
        <v>1000000</v>
      </c>
      <c r="F4" s="32"/>
      <c r="G4" s="32"/>
      <c r="H4" s="32"/>
    </row>
    <row r="5" spans="1:8">
      <c r="A5" s="34">
        <v>46028</v>
      </c>
      <c r="B5" s="32" t="s">
        <v>72</v>
      </c>
      <c r="C5" s="33"/>
      <c r="D5" s="32"/>
      <c r="E5" s="32"/>
      <c r="F5" s="32"/>
      <c r="G5" s="32"/>
      <c r="H5" s="33">
        <v>200000</v>
      </c>
    </row>
    <row r="6" spans="1:8">
      <c r="A6" s="34">
        <v>46030</v>
      </c>
      <c r="B6" s="32" t="s">
        <v>73</v>
      </c>
      <c r="C6" s="33"/>
      <c r="D6" s="32"/>
      <c r="E6" s="32"/>
      <c r="F6" s="32"/>
      <c r="G6" s="32"/>
      <c r="H6" s="33">
        <v>190638</v>
      </c>
    </row>
    <row r="7" spans="1:8">
      <c r="A7" s="34">
        <v>46028</v>
      </c>
      <c r="B7" s="32" t="s">
        <v>74</v>
      </c>
      <c r="C7" s="33"/>
      <c r="D7" s="32"/>
      <c r="E7" s="32"/>
      <c r="F7" s="32"/>
      <c r="G7" s="33">
        <v>500000</v>
      </c>
      <c r="H7" s="32"/>
    </row>
    <row r="8" spans="1:8">
      <c r="A8" s="34">
        <v>46033</v>
      </c>
      <c r="B8" s="32" t="s">
        <v>75</v>
      </c>
      <c r="C8" s="33"/>
      <c r="D8" s="32"/>
      <c r="E8" s="33">
        <v>1500000</v>
      </c>
      <c r="F8" s="32"/>
      <c r="G8" s="32"/>
      <c r="H8" s="32"/>
    </row>
    <row r="9" spans="1:8">
      <c r="A9" s="34">
        <v>46034</v>
      </c>
      <c r="B9" s="32" t="s">
        <v>76</v>
      </c>
      <c r="C9" s="33"/>
      <c r="D9" s="32"/>
      <c r="E9" s="32"/>
      <c r="F9" s="32"/>
      <c r="G9" s="32"/>
      <c r="H9" s="33">
        <v>110000</v>
      </c>
    </row>
    <row r="10" spans="1:8">
      <c r="A10" s="34">
        <v>46035</v>
      </c>
      <c r="B10" s="32" t="s">
        <v>77</v>
      </c>
      <c r="C10" s="33"/>
      <c r="D10" s="32"/>
      <c r="E10" s="32"/>
      <c r="F10" s="32"/>
      <c r="G10" s="32"/>
      <c r="H10" s="33">
        <v>200000</v>
      </c>
    </row>
    <row r="11" spans="1:8">
      <c r="A11" s="34">
        <v>46045</v>
      </c>
      <c r="B11" s="32" t="s">
        <v>78</v>
      </c>
      <c r="C11" s="33"/>
      <c r="D11" s="32"/>
      <c r="E11" s="33">
        <v>1500000</v>
      </c>
      <c r="F11" s="32"/>
      <c r="G11" s="32"/>
      <c r="H11" s="32"/>
    </row>
    <row r="12" spans="1:8">
      <c r="A12" s="34">
        <v>46045</v>
      </c>
      <c r="B12" s="32" t="s">
        <v>79</v>
      </c>
      <c r="C12" s="33"/>
      <c r="D12" s="32"/>
      <c r="E12" s="32"/>
      <c r="F12" s="32"/>
      <c r="G12" s="32"/>
      <c r="H12" s="33">
        <v>85000</v>
      </c>
    </row>
    <row r="13" spans="1:8">
      <c r="A13" s="34">
        <v>46046</v>
      </c>
      <c r="B13" s="32" t="s">
        <v>80</v>
      </c>
      <c r="C13" s="33"/>
      <c r="D13" s="32"/>
      <c r="E13" s="32"/>
      <c r="F13" s="32"/>
      <c r="G13" s="32"/>
      <c r="H13" s="33">
        <v>200000</v>
      </c>
    </row>
    <row r="14" spans="1:8">
      <c r="A14" s="34">
        <v>46046</v>
      </c>
      <c r="B14" s="32" t="s">
        <v>81</v>
      </c>
      <c r="C14" s="33"/>
      <c r="D14" s="32"/>
      <c r="E14" s="32"/>
      <c r="F14" s="32"/>
      <c r="G14" s="32"/>
      <c r="H14" s="33">
        <v>160000</v>
      </c>
    </row>
    <row r="15" spans="1:8">
      <c r="A15" s="34">
        <v>46048</v>
      </c>
      <c r="B15" s="32" t="s">
        <v>82</v>
      </c>
      <c r="C15" s="33"/>
      <c r="D15" s="32"/>
      <c r="E15" s="32"/>
      <c r="F15" s="32"/>
      <c r="G15" s="32"/>
      <c r="H15" s="33">
        <v>125000</v>
      </c>
    </row>
    <row r="16" spans="1:8">
      <c r="A16" s="34">
        <v>46048</v>
      </c>
      <c r="B16" s="32" t="s">
        <v>83</v>
      </c>
      <c r="C16" s="33"/>
      <c r="D16" s="32"/>
      <c r="E16" s="32"/>
      <c r="F16" s="32"/>
      <c r="G16" s="32"/>
      <c r="H16" s="33">
        <v>31500</v>
      </c>
    </row>
    <row r="17" spans="1:8">
      <c r="A17" s="34">
        <v>46048</v>
      </c>
      <c r="B17" s="35" t="s">
        <v>84</v>
      </c>
      <c r="C17" s="33"/>
      <c r="D17" s="36">
        <v>9000000</v>
      </c>
      <c r="E17" s="36">
        <v>8000000</v>
      </c>
      <c r="F17" s="36">
        <v>8000000</v>
      </c>
      <c r="G17" s="32"/>
      <c r="H17" s="32"/>
    </row>
    <row r="18" spans="1:8">
      <c r="A18" s="34">
        <v>46052</v>
      </c>
      <c r="B18" s="32" t="s">
        <v>85</v>
      </c>
      <c r="C18" s="33"/>
      <c r="D18" s="32"/>
      <c r="E18" s="32"/>
      <c r="F18" s="33">
        <v>1440000</v>
      </c>
      <c r="G18" s="32"/>
      <c r="H18" s="32"/>
    </row>
    <row r="19" spans="1:8">
      <c r="A19" s="34">
        <v>46052</v>
      </c>
      <c r="B19" s="32" t="s">
        <v>86</v>
      </c>
      <c r="C19" s="33"/>
      <c r="D19" s="32"/>
      <c r="E19" s="32"/>
      <c r="F19" s="33">
        <v>200000</v>
      </c>
      <c r="G19" s="32"/>
      <c r="H19" s="32"/>
    </row>
    <row r="20" spans="1:8">
      <c r="A20" s="34">
        <v>46052</v>
      </c>
      <c r="B20" s="32" t="s">
        <v>87</v>
      </c>
      <c r="C20" s="33"/>
      <c r="D20" s="32"/>
      <c r="E20" s="32"/>
      <c r="F20" s="32"/>
      <c r="G20" s="32"/>
      <c r="H20" s="33">
        <v>200000</v>
      </c>
    </row>
    <row r="21" spans="1:8">
      <c r="A21" s="34">
        <v>46052</v>
      </c>
      <c r="B21" s="32" t="s">
        <v>88</v>
      </c>
      <c r="C21" s="33"/>
      <c r="D21" s="32"/>
      <c r="E21" s="32"/>
      <c r="F21" s="32"/>
      <c r="G21" s="32"/>
      <c r="H21" s="33">
        <v>13000</v>
      </c>
    </row>
    <row r="22" spans="1:8">
      <c r="A22" s="34">
        <v>46052</v>
      </c>
      <c r="B22" s="32" t="s">
        <v>89</v>
      </c>
      <c r="C22" s="33"/>
      <c r="D22" s="32"/>
      <c r="E22" s="32"/>
      <c r="F22" s="33">
        <v>150000</v>
      </c>
      <c r="G22" s="32"/>
      <c r="H22" s="32"/>
    </row>
    <row r="23" spans="1:8">
      <c r="A23" s="34">
        <v>46052</v>
      </c>
      <c r="B23" s="32" t="s">
        <v>90</v>
      </c>
      <c r="C23" s="33"/>
      <c r="D23" s="32"/>
      <c r="E23" s="32"/>
      <c r="F23" s="33">
        <v>180000</v>
      </c>
      <c r="G23" s="32"/>
      <c r="H23" s="32"/>
    </row>
    <row r="24" spans="1:8">
      <c r="A24" s="34">
        <v>46052</v>
      </c>
      <c r="B24" s="32" t="s">
        <v>91</v>
      </c>
      <c r="C24" s="33"/>
      <c r="D24" s="32"/>
      <c r="E24" s="32"/>
      <c r="F24" s="33">
        <v>40000</v>
      </c>
      <c r="G24" s="32"/>
      <c r="H24" s="32"/>
    </row>
    <row r="25" spans="1:8">
      <c r="A25" s="32"/>
      <c r="B25" s="32"/>
      <c r="C25" s="33"/>
      <c r="D25" s="33"/>
      <c r="E25" s="33"/>
      <c r="F25" s="33"/>
      <c r="G25" s="33"/>
      <c r="H25" s="33"/>
    </row>
    <row r="26" spans="1:8">
      <c r="A26" s="32"/>
      <c r="B26" s="32"/>
      <c r="C26" s="37">
        <f>SUM(D26:H26)</f>
        <v>33025138</v>
      </c>
      <c r="D26" s="37">
        <f>SUM(D3:D25)</f>
        <v>9000000</v>
      </c>
      <c r="E26" s="37">
        <f>SUM(E3:E25)</f>
        <v>12000000</v>
      </c>
      <c r="F26" s="37">
        <f>SUM(F3:F25)</f>
        <v>10010000</v>
      </c>
      <c r="G26" s="37">
        <f>SUM(G3:G25)</f>
        <v>500000</v>
      </c>
      <c r="H26" s="37">
        <f>SUM(H3:H25)</f>
        <v>1515138</v>
      </c>
    </row>
    <row r="27" spans="1:8">
      <c r="A27" s="32" t="s">
        <v>92</v>
      </c>
      <c r="B27" s="32"/>
      <c r="C27" s="33"/>
      <c r="D27" s="33"/>
      <c r="E27" s="33"/>
      <c r="F27" s="33"/>
      <c r="G27" s="33"/>
      <c r="H27" s="33"/>
    </row>
    <row r="28" spans="1:8">
      <c r="A28" s="34">
        <v>46057</v>
      </c>
      <c r="B28" s="32" t="s">
        <v>93</v>
      </c>
      <c r="C28" s="33"/>
      <c r="D28" s="33"/>
      <c r="E28" s="33"/>
      <c r="F28" s="33"/>
      <c r="G28" s="33"/>
      <c r="H28" s="33">
        <v>100000</v>
      </c>
    </row>
    <row r="29" spans="1:8">
      <c r="A29" s="34">
        <v>46063</v>
      </c>
      <c r="B29" s="32" t="s">
        <v>94</v>
      </c>
      <c r="C29" s="33"/>
      <c r="D29" s="33"/>
      <c r="E29" s="33"/>
      <c r="F29" s="33"/>
      <c r="G29" s="33"/>
      <c r="H29" s="33">
        <v>207000</v>
      </c>
    </row>
    <row r="30" spans="1:8">
      <c r="A30" s="34">
        <v>46069</v>
      </c>
      <c r="B30" s="32" t="s">
        <v>95</v>
      </c>
      <c r="C30" s="33"/>
      <c r="D30" s="33"/>
      <c r="E30" s="33"/>
      <c r="F30" s="33"/>
      <c r="G30" s="33"/>
      <c r="H30" s="33">
        <v>286000</v>
      </c>
    </row>
    <row r="31" spans="1:8">
      <c r="A31" s="34">
        <v>46057</v>
      </c>
      <c r="B31" s="32" t="s">
        <v>96</v>
      </c>
      <c r="C31" s="33"/>
      <c r="D31" s="33"/>
      <c r="E31" s="33">
        <v>5000000</v>
      </c>
      <c r="F31" s="33"/>
      <c r="G31" s="33"/>
      <c r="H31" s="33"/>
    </row>
    <row r="32" spans="1:8">
      <c r="A32" s="34">
        <v>46081</v>
      </c>
      <c r="B32" s="32" t="s">
        <v>97</v>
      </c>
      <c r="C32" s="33"/>
      <c r="D32" s="33"/>
      <c r="E32" s="33"/>
      <c r="F32" s="33"/>
      <c r="G32" s="33"/>
      <c r="H32" s="33">
        <v>9000000</v>
      </c>
    </row>
    <row r="33" spans="1:8">
      <c r="A33" s="32"/>
      <c r="B33" s="32"/>
      <c r="C33" s="37">
        <f>SUM(D28:H32)</f>
        <v>14593000</v>
      </c>
      <c r="D33" s="37">
        <f>SUM(D28:D32)</f>
        <v>0</v>
      </c>
      <c r="E33" s="37">
        <f t="shared" ref="E33:H33" si="0">SUM(E28:E32)</f>
        <v>5000000</v>
      </c>
      <c r="F33" s="37">
        <f t="shared" si="0"/>
        <v>0</v>
      </c>
      <c r="G33" s="37">
        <f t="shared" si="0"/>
        <v>0</v>
      </c>
      <c r="H33" s="37">
        <f t="shared" si="0"/>
        <v>9593000</v>
      </c>
    </row>
    <row r="34" spans="1:8">
      <c r="A34" s="32" t="s">
        <v>98</v>
      </c>
      <c r="B34" s="32"/>
      <c r="C34" s="33"/>
      <c r="D34" s="33"/>
      <c r="E34" s="33"/>
      <c r="F34" s="33"/>
      <c r="G34" s="33"/>
      <c r="H34" s="33"/>
    </row>
    <row r="35" spans="1:8">
      <c r="A35" s="34">
        <v>46084</v>
      </c>
      <c r="B35" s="32" t="s">
        <v>99</v>
      </c>
      <c r="C35" s="33"/>
      <c r="D35" s="33"/>
      <c r="E35" s="33"/>
      <c r="F35" s="33"/>
      <c r="G35" s="33"/>
      <c r="H35" s="33">
        <v>175805</v>
      </c>
    </row>
    <row r="36" spans="1:8">
      <c r="A36" s="34">
        <v>46088</v>
      </c>
      <c r="B36" s="32" t="s">
        <v>100</v>
      </c>
      <c r="C36" s="33"/>
      <c r="D36" s="33"/>
      <c r="E36" s="33"/>
      <c r="F36" s="33"/>
      <c r="G36" s="33"/>
      <c r="H36" s="33">
        <v>80000</v>
      </c>
    </row>
    <row r="37" spans="1:8">
      <c r="A37" s="34">
        <v>46089</v>
      </c>
      <c r="B37" s="38" t="s">
        <v>101</v>
      </c>
      <c r="C37" s="33"/>
      <c r="D37" s="33"/>
      <c r="E37" s="33"/>
      <c r="F37" s="33"/>
      <c r="G37" s="33"/>
      <c r="H37" s="39">
        <v>325000</v>
      </c>
    </row>
    <row r="38" spans="1:8">
      <c r="A38" s="34">
        <v>46089</v>
      </c>
      <c r="B38" s="34" t="s">
        <v>102</v>
      </c>
      <c r="C38" s="33"/>
      <c r="D38" s="33"/>
      <c r="E38" s="33"/>
      <c r="F38" s="33"/>
      <c r="G38" s="33"/>
      <c r="H38" s="33">
        <v>500000</v>
      </c>
    </row>
    <row r="39" spans="1:8">
      <c r="A39" s="34">
        <v>46096</v>
      </c>
      <c r="B39" s="32" t="s">
        <v>103</v>
      </c>
      <c r="C39" s="33"/>
      <c r="D39" s="33"/>
      <c r="E39" s="33"/>
      <c r="F39" s="33"/>
      <c r="G39" s="33"/>
      <c r="H39" s="33">
        <v>350000</v>
      </c>
    </row>
    <row r="40" spans="1:8">
      <c r="A40" s="34">
        <v>46098</v>
      </c>
      <c r="B40" s="32" t="s">
        <v>104</v>
      </c>
      <c r="C40" s="33"/>
      <c r="D40" s="33"/>
      <c r="E40" s="33"/>
      <c r="F40" s="33"/>
      <c r="G40" s="33"/>
      <c r="H40" s="33">
        <v>53000</v>
      </c>
    </row>
    <row r="41" spans="1:8">
      <c r="A41" s="34">
        <v>46098</v>
      </c>
      <c r="B41" s="38" t="s">
        <v>105</v>
      </c>
      <c r="C41" s="33"/>
      <c r="D41" s="33"/>
      <c r="E41" s="33"/>
      <c r="F41" s="33"/>
      <c r="G41" s="33">
        <v>200000</v>
      </c>
      <c r="H41" s="33"/>
    </row>
    <row r="42" spans="1:8">
      <c r="A42" s="34">
        <v>46103</v>
      </c>
      <c r="B42" s="32" t="s">
        <v>106</v>
      </c>
      <c r="C42" s="33"/>
      <c r="D42" s="33"/>
      <c r="E42" s="33"/>
      <c r="F42" s="33"/>
      <c r="G42" s="33"/>
      <c r="H42" s="33">
        <v>37500</v>
      </c>
    </row>
    <row r="43" spans="1:8">
      <c r="A43" s="34">
        <v>46111</v>
      </c>
      <c r="B43" s="32" t="s">
        <v>107</v>
      </c>
      <c r="C43" s="33"/>
      <c r="D43" s="33"/>
      <c r="E43" s="33"/>
      <c r="F43" s="33"/>
      <c r="G43" s="33"/>
      <c r="H43" s="33">
        <v>300000</v>
      </c>
    </row>
    <row r="44" spans="1:8">
      <c r="A44" s="34">
        <v>46111</v>
      </c>
      <c r="B44" s="32" t="s">
        <v>108</v>
      </c>
      <c r="C44" s="33"/>
      <c r="D44" s="33"/>
      <c r="E44" s="33"/>
      <c r="F44" s="33"/>
      <c r="G44" s="33"/>
      <c r="H44" s="33">
        <v>300000</v>
      </c>
    </row>
    <row r="45" spans="1:8">
      <c r="A45" s="32"/>
      <c r="B45" s="32"/>
      <c r="C45" s="37">
        <f>SUM(D35:H44)</f>
        <v>2321305</v>
      </c>
      <c r="D45" s="37">
        <f>SUM(D35:D44)</f>
        <v>0</v>
      </c>
      <c r="E45" s="37">
        <f t="shared" ref="E45:H45" si="1">SUM(E35:E44)</f>
        <v>0</v>
      </c>
      <c r="F45" s="37">
        <f t="shared" si="1"/>
        <v>0</v>
      </c>
      <c r="G45" s="37">
        <f t="shared" si="1"/>
        <v>200000</v>
      </c>
      <c r="H45" s="37">
        <f t="shared" si="1"/>
        <v>2121305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opLeftCell="A38" workbookViewId="0">
      <selection activeCell="D10" sqref="D10"/>
    </sheetView>
  </sheetViews>
  <sheetFormatPr defaultColWidth="9" defaultRowHeight="16.8" outlineLevelCol="7"/>
  <cols>
    <col min="1" max="1" width="5.5703125" customWidth="1"/>
    <col min="2" max="2" width="13.859375" customWidth="1"/>
    <col min="3" max="3" width="18.5703125" customWidth="1"/>
    <col min="4" max="4" width="15.4296875" customWidth="1"/>
    <col min="5" max="5" width="16.859375" customWidth="1"/>
    <col min="6" max="6" width="21" customWidth="1"/>
    <col min="7" max="7" width="21.7109375" customWidth="1"/>
    <col min="8" max="8" width="16.140625" customWidth="1"/>
  </cols>
  <sheetData>
    <row r="1" spans="1:8">
      <c r="A1" s="1" t="s">
        <v>109</v>
      </c>
      <c r="B1" s="1"/>
      <c r="C1" s="1"/>
      <c r="D1" s="1"/>
      <c r="E1" s="1"/>
      <c r="F1" s="1"/>
      <c r="G1" s="1"/>
      <c r="H1" s="1"/>
    </row>
    <row r="2" spans="1:8">
      <c r="A2" t="s">
        <v>110</v>
      </c>
    </row>
    <row r="3" spans="1:8">
      <c r="A3">
        <v>1</v>
      </c>
      <c r="B3" t="s">
        <v>111</v>
      </c>
      <c r="D3" s="2">
        <v>0.15</v>
      </c>
      <c r="G3" s="2"/>
    </row>
    <row r="4" spans="1:8">
      <c r="A4">
        <v>2</v>
      </c>
      <c r="B4" t="s">
        <v>112</v>
      </c>
      <c r="D4" s="2">
        <v>0.25</v>
      </c>
      <c r="G4" s="2"/>
    </row>
    <row r="5" spans="1:8">
      <c r="A5">
        <v>3</v>
      </c>
      <c r="B5" t="s">
        <v>113</v>
      </c>
      <c r="D5" s="2">
        <v>0.35</v>
      </c>
      <c r="G5" s="2"/>
    </row>
    <row r="6" spans="1:8">
      <c r="A6">
        <v>4</v>
      </c>
      <c r="B6" t="s">
        <v>114</v>
      </c>
      <c r="D6" s="2">
        <v>0.05</v>
      </c>
      <c r="G6" s="2"/>
    </row>
    <row r="7" spans="1:8">
      <c r="B7" t="s">
        <v>115</v>
      </c>
      <c r="D7" s="2">
        <v>0.2</v>
      </c>
      <c r="G7" s="2"/>
    </row>
    <row r="8" ht="20.4" spans="1:8">
      <c r="A8" s="3"/>
      <c r="B8" s="4" t="s">
        <v>116</v>
      </c>
      <c r="C8" s="5"/>
      <c r="D8" s="5"/>
      <c r="E8" s="5"/>
      <c r="F8" s="5"/>
      <c r="G8" s="5"/>
      <c r="H8" s="5"/>
    </row>
    <row r="9" spans="1:8">
      <c r="A9" s="6" t="s">
        <v>117</v>
      </c>
      <c r="B9" s="6" t="s">
        <v>62</v>
      </c>
      <c r="C9" s="7" t="s">
        <v>118</v>
      </c>
      <c r="D9" s="7" t="s">
        <v>111</v>
      </c>
      <c r="E9" s="7" t="s">
        <v>112</v>
      </c>
      <c r="F9" s="7" t="s">
        <v>113</v>
      </c>
      <c r="G9" s="7" t="s">
        <v>114</v>
      </c>
      <c r="H9" s="7" t="s">
        <v>115</v>
      </c>
    </row>
    <row r="10" spans="1:8">
      <c r="A10" s="6"/>
      <c r="B10" s="6"/>
      <c r="C10" s="8"/>
      <c r="D10" s="8">
        <v>0.15</v>
      </c>
      <c r="E10" s="8">
        <v>0.25</v>
      </c>
      <c r="F10" s="8">
        <v>0.35</v>
      </c>
      <c r="G10" s="8">
        <v>0.05</v>
      </c>
      <c r="H10" s="8">
        <v>0.2</v>
      </c>
    </row>
    <row r="11" spans="1:8">
      <c r="A11" s="9"/>
      <c r="B11" s="10"/>
      <c r="C11" s="11"/>
      <c r="D11" s="12"/>
      <c r="E11" s="12"/>
      <c r="F11" s="12"/>
      <c r="G11" s="12"/>
      <c r="H11" s="12"/>
    </row>
    <row r="12" spans="1:8">
      <c r="A12" s="13">
        <v>1</v>
      </c>
      <c r="B12" s="10" t="s">
        <v>119</v>
      </c>
      <c r="C12" s="14">
        <v>16823800</v>
      </c>
      <c r="D12" s="12">
        <f>SUM(15/100*C12)</f>
        <v>2523570</v>
      </c>
      <c r="E12" s="12">
        <f>SUM(25/100*C12)</f>
        <v>4205950</v>
      </c>
      <c r="F12" s="12">
        <f>SUM(35/100*C12)</f>
        <v>5888330</v>
      </c>
      <c r="G12" s="12">
        <f>SUM(5/100*C12)</f>
        <v>841190</v>
      </c>
      <c r="H12" s="12">
        <f t="shared" ref="H12:H23" si="0">SUM(20/100*C12)</f>
        <v>3364760</v>
      </c>
    </row>
    <row r="13" spans="1:8">
      <c r="A13" s="13">
        <v>2</v>
      </c>
      <c r="B13" s="10" t="s">
        <v>120</v>
      </c>
      <c r="C13" s="12">
        <v>16547250</v>
      </c>
      <c r="D13" s="12">
        <f t="shared" ref="D13:D23" si="1">SUM(15/100*C13)</f>
        <v>2482087.5</v>
      </c>
      <c r="E13" s="12">
        <f t="shared" ref="E13:E23" si="2">SUM(25/100*C13)</f>
        <v>4136812.5</v>
      </c>
      <c r="F13" s="12">
        <f t="shared" ref="F13:F23" si="3">SUM(35/100*C13)</f>
        <v>5791537.5</v>
      </c>
      <c r="G13" s="12">
        <f t="shared" ref="G13:G23" si="4">SUM(5/100*C13)</f>
        <v>827362.5</v>
      </c>
      <c r="H13" s="12">
        <f t="shared" si="0"/>
        <v>3309450</v>
      </c>
    </row>
    <row r="14" spans="1:8">
      <c r="A14" s="13">
        <v>3</v>
      </c>
      <c r="B14" s="10" t="s">
        <v>121</v>
      </c>
      <c r="C14" s="12">
        <v>14668000</v>
      </c>
      <c r="D14" s="12">
        <f t="shared" si="1"/>
        <v>2200200</v>
      </c>
      <c r="E14" s="12">
        <f t="shared" si="2"/>
        <v>3667000</v>
      </c>
      <c r="F14" s="12">
        <f t="shared" si="3"/>
        <v>5133800</v>
      </c>
      <c r="G14" s="12">
        <f t="shared" si="4"/>
        <v>733400</v>
      </c>
      <c r="H14" s="12">
        <f t="shared" si="0"/>
        <v>2933600</v>
      </c>
    </row>
    <row r="15" spans="1:8">
      <c r="A15" s="13">
        <v>4</v>
      </c>
      <c r="B15" s="10" t="s">
        <v>122</v>
      </c>
      <c r="C15" s="12"/>
      <c r="D15" s="12">
        <f t="shared" si="1"/>
        <v>0</v>
      </c>
      <c r="E15" s="12">
        <f t="shared" si="2"/>
        <v>0</v>
      </c>
      <c r="F15" s="12">
        <f t="shared" si="3"/>
        <v>0</v>
      </c>
      <c r="G15" s="12">
        <f t="shared" si="4"/>
        <v>0</v>
      </c>
      <c r="H15" s="12">
        <f t="shared" si="0"/>
        <v>0</v>
      </c>
    </row>
    <row r="16" spans="1:8">
      <c r="A16" s="13">
        <v>5</v>
      </c>
      <c r="B16" s="10" t="s">
        <v>123</v>
      </c>
      <c r="C16" s="12"/>
      <c r="D16" s="12">
        <f t="shared" si="1"/>
        <v>0</v>
      </c>
      <c r="E16" s="12">
        <f t="shared" si="2"/>
        <v>0</v>
      </c>
      <c r="F16" s="12">
        <f t="shared" si="3"/>
        <v>0</v>
      </c>
      <c r="G16" s="12">
        <f t="shared" si="4"/>
        <v>0</v>
      </c>
      <c r="H16" s="12">
        <f t="shared" si="0"/>
        <v>0</v>
      </c>
    </row>
    <row r="17" spans="1:8">
      <c r="A17" s="13">
        <v>6</v>
      </c>
      <c r="B17" s="10" t="s">
        <v>124</v>
      </c>
      <c r="C17" s="12"/>
      <c r="D17" s="12">
        <f t="shared" si="1"/>
        <v>0</v>
      </c>
      <c r="E17" s="12">
        <f t="shared" si="2"/>
        <v>0</v>
      </c>
      <c r="F17" s="12">
        <f t="shared" si="3"/>
        <v>0</v>
      </c>
      <c r="G17" s="12">
        <f t="shared" si="4"/>
        <v>0</v>
      </c>
      <c r="H17" s="12">
        <f t="shared" si="0"/>
        <v>0</v>
      </c>
    </row>
    <row r="18" spans="1:8">
      <c r="A18" s="13">
        <v>7</v>
      </c>
      <c r="B18" s="10" t="s">
        <v>125</v>
      </c>
      <c r="C18" s="12"/>
      <c r="D18" s="12">
        <f t="shared" si="1"/>
        <v>0</v>
      </c>
      <c r="E18" s="12">
        <f t="shared" si="2"/>
        <v>0</v>
      </c>
      <c r="F18" s="12">
        <f t="shared" si="3"/>
        <v>0</v>
      </c>
      <c r="G18" s="12">
        <f t="shared" si="4"/>
        <v>0</v>
      </c>
      <c r="H18" s="12">
        <f t="shared" si="0"/>
        <v>0</v>
      </c>
    </row>
    <row r="19" spans="1:8">
      <c r="A19" s="13">
        <v>8</v>
      </c>
      <c r="B19" s="10" t="s">
        <v>126</v>
      </c>
      <c r="C19" s="12"/>
      <c r="D19" s="12">
        <f t="shared" si="1"/>
        <v>0</v>
      </c>
      <c r="E19" s="12">
        <f t="shared" si="2"/>
        <v>0</v>
      </c>
      <c r="F19" s="12">
        <f t="shared" si="3"/>
        <v>0</v>
      </c>
      <c r="G19" s="12">
        <f t="shared" si="4"/>
        <v>0</v>
      </c>
      <c r="H19" s="12">
        <f t="shared" si="0"/>
        <v>0</v>
      </c>
    </row>
    <row r="20" spans="1:8">
      <c r="A20" s="13">
        <v>9</v>
      </c>
      <c r="B20" s="10" t="s">
        <v>127</v>
      </c>
      <c r="C20" s="12"/>
      <c r="D20" s="12">
        <f t="shared" si="1"/>
        <v>0</v>
      </c>
      <c r="E20" s="12">
        <f t="shared" si="2"/>
        <v>0</v>
      </c>
      <c r="F20" s="12">
        <f t="shared" si="3"/>
        <v>0</v>
      </c>
      <c r="G20" s="12">
        <f t="shared" si="4"/>
        <v>0</v>
      </c>
      <c r="H20" s="12">
        <f t="shared" si="0"/>
        <v>0</v>
      </c>
    </row>
    <row r="21" spans="1:8">
      <c r="A21" s="13">
        <v>10</v>
      </c>
      <c r="B21" s="10" t="s">
        <v>128</v>
      </c>
      <c r="C21" s="12"/>
      <c r="D21" s="12">
        <f t="shared" si="1"/>
        <v>0</v>
      </c>
      <c r="E21" s="12">
        <f t="shared" si="2"/>
        <v>0</v>
      </c>
      <c r="F21" s="12">
        <f t="shared" si="3"/>
        <v>0</v>
      </c>
      <c r="G21" s="12">
        <f t="shared" si="4"/>
        <v>0</v>
      </c>
      <c r="H21" s="12">
        <f t="shared" si="0"/>
        <v>0</v>
      </c>
    </row>
    <row r="22" spans="1:8">
      <c r="A22" s="13">
        <v>11</v>
      </c>
      <c r="B22" s="10" t="s">
        <v>129</v>
      </c>
      <c r="C22" s="12"/>
      <c r="D22" s="12">
        <f t="shared" si="1"/>
        <v>0</v>
      </c>
      <c r="E22" s="12">
        <f t="shared" si="2"/>
        <v>0</v>
      </c>
      <c r="F22" s="12">
        <f t="shared" si="3"/>
        <v>0</v>
      </c>
      <c r="G22" s="12">
        <f t="shared" si="4"/>
        <v>0</v>
      </c>
      <c r="H22" s="12">
        <f t="shared" si="0"/>
        <v>0</v>
      </c>
    </row>
    <row r="23" ht="17.6" spans="1:8">
      <c r="A23" s="13">
        <v>12</v>
      </c>
      <c r="B23" s="10" t="s">
        <v>130</v>
      </c>
      <c r="C23" s="14"/>
      <c r="D23" s="12">
        <f t="shared" si="1"/>
        <v>0</v>
      </c>
      <c r="E23" s="15">
        <f t="shared" si="2"/>
        <v>0</v>
      </c>
      <c r="F23" s="12">
        <f t="shared" si="3"/>
        <v>0</v>
      </c>
      <c r="G23" s="12">
        <f t="shared" si="4"/>
        <v>0</v>
      </c>
      <c r="H23" s="12">
        <f t="shared" si="0"/>
        <v>0</v>
      </c>
    </row>
    <row r="24" spans="1:8">
      <c r="A24" s="10"/>
      <c r="B24" s="16" t="s">
        <v>54</v>
      </c>
      <c r="C24" s="17">
        <f>SUM(C11:C23)</f>
        <v>48039050</v>
      </c>
      <c r="D24" s="17">
        <f>SUM(D11:D23)</f>
        <v>7205857.5</v>
      </c>
      <c r="E24" s="17">
        <f t="shared" ref="E24:H24" si="5">SUM(E11:E23)</f>
        <v>12009762.5</v>
      </c>
      <c r="F24" s="17">
        <f t="shared" si="5"/>
        <v>16813667.5</v>
      </c>
      <c r="G24" s="17">
        <f t="shared" si="5"/>
        <v>2401952.5</v>
      </c>
      <c r="H24" s="17">
        <f t="shared" si="5"/>
        <v>9607810</v>
      </c>
    </row>
    <row r="25" spans="1:8">
      <c r="A25" s="18"/>
      <c r="B25" s="19"/>
      <c r="C25" s="20"/>
      <c r="D25" s="20"/>
      <c r="E25" s="20"/>
      <c r="F25" s="20"/>
      <c r="G25" s="20"/>
      <c r="H25" s="20"/>
    </row>
    <row r="26" spans="1:8">
      <c r="A26" s="18"/>
      <c r="B26" s="19"/>
      <c r="C26" s="20"/>
      <c r="D26" s="20"/>
      <c r="E26" s="20"/>
      <c r="F26" s="20"/>
      <c r="G26" s="20"/>
      <c r="H26" s="20"/>
    </row>
    <row r="27" spans="1:8">
      <c r="A27" s="18"/>
      <c r="B27" s="19"/>
      <c r="C27" s="20"/>
      <c r="D27" s="20"/>
      <c r="E27" s="20"/>
      <c r="F27" s="20"/>
      <c r="G27" s="20"/>
      <c r="H27" s="20"/>
    </row>
    <row r="28" ht="20.4" spans="1:8">
      <c r="A28" s="18"/>
      <c r="B28" s="21" t="s">
        <v>131</v>
      </c>
      <c r="C28" s="20"/>
      <c r="D28" s="20"/>
      <c r="E28" s="20"/>
      <c r="F28" s="20"/>
      <c r="G28" s="20"/>
      <c r="H28" s="20"/>
    </row>
    <row r="29" spans="1:8">
      <c r="A29" s="6" t="s">
        <v>117</v>
      </c>
      <c r="B29" s="6" t="s">
        <v>62</v>
      </c>
      <c r="C29" s="22" t="s">
        <v>132</v>
      </c>
      <c r="D29" s="7" t="s">
        <v>111</v>
      </c>
      <c r="E29" s="7" t="s">
        <v>112</v>
      </c>
      <c r="F29" s="7" t="s">
        <v>113</v>
      </c>
      <c r="G29" s="7" t="s">
        <v>114</v>
      </c>
      <c r="H29" s="7" t="s">
        <v>115</v>
      </c>
    </row>
    <row r="30" spans="1:8">
      <c r="A30" s="6"/>
      <c r="B30" s="6"/>
      <c r="C30" s="23"/>
      <c r="D30" s="8">
        <v>0.15</v>
      </c>
      <c r="E30" s="8">
        <v>0.25</v>
      </c>
      <c r="F30" s="8">
        <v>0.35</v>
      </c>
      <c r="G30" s="8">
        <v>0.05</v>
      </c>
      <c r="H30" s="8">
        <v>0.2</v>
      </c>
    </row>
    <row r="31" ht="20.4" spans="1:8">
      <c r="A31" s="24"/>
      <c r="B31" s="25" t="s">
        <v>133</v>
      </c>
      <c r="C31" s="26">
        <v>96000000</v>
      </c>
      <c r="D31" s="12">
        <f>SUM(15/100*C31)</f>
        <v>14400000</v>
      </c>
      <c r="E31" s="12">
        <f>SUM(25/100*C31)</f>
        <v>24000000</v>
      </c>
      <c r="F31" s="12">
        <f>SUM(35/100*C31)</f>
        <v>33600000</v>
      </c>
      <c r="G31" s="12">
        <f>SUM(5/100*C31)</f>
        <v>4800000</v>
      </c>
      <c r="H31" s="12">
        <f t="shared" ref="H31" si="6">SUM(20/100*C31)</f>
        <v>19200000</v>
      </c>
    </row>
    <row r="32" spans="1:8">
      <c r="A32" s="27"/>
      <c r="B32" s="10" t="s">
        <v>119</v>
      </c>
      <c r="C32" s="12">
        <f>SUM(D32:H32)</f>
        <v>33025138</v>
      </c>
      <c r="D32" s="12">
        <v>9000000</v>
      </c>
      <c r="E32" s="12">
        <v>12000000</v>
      </c>
      <c r="F32" s="12">
        <v>10010000</v>
      </c>
      <c r="G32" s="12">
        <v>500000</v>
      </c>
      <c r="H32" s="12">
        <v>1515138</v>
      </c>
    </row>
    <row r="33" spans="1:8">
      <c r="A33" s="27"/>
      <c r="B33" s="10" t="s">
        <v>120</v>
      </c>
      <c r="C33" s="12">
        <f t="shared" ref="C33:C44" si="7">SUM(D33:H33)</f>
        <v>14539000</v>
      </c>
      <c r="D33" s="12">
        <v>0</v>
      </c>
      <c r="E33" s="12">
        <v>5000000</v>
      </c>
      <c r="F33" s="12">
        <v>0</v>
      </c>
      <c r="G33" s="12">
        <v>0</v>
      </c>
      <c r="H33" s="12">
        <v>9539000</v>
      </c>
    </row>
    <row r="34" spans="1:8">
      <c r="A34" s="27"/>
      <c r="B34" s="10" t="s">
        <v>121</v>
      </c>
      <c r="C34" s="12">
        <f t="shared" si="7"/>
        <v>2321305</v>
      </c>
      <c r="D34" s="12">
        <v>0</v>
      </c>
      <c r="E34" s="12">
        <v>0</v>
      </c>
      <c r="F34" s="12">
        <v>200000</v>
      </c>
      <c r="G34" s="12">
        <v>0</v>
      </c>
      <c r="H34" s="12">
        <v>2121305</v>
      </c>
    </row>
    <row r="35" spans="1:8">
      <c r="A35" s="10"/>
      <c r="B35" s="10" t="s">
        <v>122</v>
      </c>
      <c r="C35" s="12">
        <f t="shared" si="7"/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</row>
    <row r="36" spans="1:8">
      <c r="A36" s="10"/>
      <c r="B36" s="10" t="s">
        <v>123</v>
      </c>
      <c r="C36" s="12">
        <f t="shared" si="7"/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</row>
    <row r="37" spans="1:8">
      <c r="A37" s="10"/>
      <c r="B37" s="10" t="s">
        <v>124</v>
      </c>
      <c r="C37" s="12">
        <f t="shared" si="7"/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</row>
    <row r="38" spans="1:8">
      <c r="A38" s="10"/>
      <c r="B38" s="10" t="s">
        <v>125</v>
      </c>
      <c r="C38" s="12">
        <f t="shared" si="7"/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</row>
    <row r="39" spans="1:8">
      <c r="A39" s="10"/>
      <c r="B39" s="10" t="s">
        <v>126</v>
      </c>
      <c r="C39" s="12">
        <f t="shared" si="7"/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</row>
    <row r="40" spans="1:8">
      <c r="A40" s="10"/>
      <c r="B40" s="10" t="s">
        <v>127</v>
      </c>
      <c r="C40" s="12">
        <f t="shared" si="7"/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</row>
    <row r="41" spans="1:8">
      <c r="A41" s="10"/>
      <c r="B41" s="10" t="s">
        <v>128</v>
      </c>
      <c r="C41" s="12">
        <f t="shared" si="7"/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</row>
    <row r="42" spans="1:8">
      <c r="A42" s="10"/>
      <c r="B42" s="10" t="s">
        <v>134</v>
      </c>
      <c r="C42" s="12">
        <f t="shared" si="7"/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</row>
    <row r="43" spans="1:8">
      <c r="A43" s="10"/>
      <c r="B43" s="10" t="s">
        <v>135</v>
      </c>
      <c r="C43" s="12">
        <f t="shared" si="7"/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</row>
    <row r="44" spans="1:8">
      <c r="A44" s="10"/>
      <c r="B44" s="10" t="s">
        <v>136</v>
      </c>
      <c r="C44" s="12">
        <f t="shared" si="7"/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</row>
    <row r="45" spans="1:8">
      <c r="A45" s="10"/>
      <c r="B45" s="10"/>
      <c r="C45" s="12"/>
      <c r="D45" s="12"/>
      <c r="E45" s="12"/>
      <c r="F45" s="12"/>
      <c r="G45" s="12"/>
      <c r="H45" s="12"/>
    </row>
    <row r="46" spans="1:8">
      <c r="A46" s="10"/>
      <c r="B46" s="16" t="s">
        <v>137</v>
      </c>
      <c r="C46" s="17">
        <f>SUM(C32:C45)</f>
        <v>49885443</v>
      </c>
      <c r="D46" s="17">
        <f t="shared" ref="D46:H46" si="8">SUM(D32:D45)</f>
        <v>9000000</v>
      </c>
      <c r="E46" s="17">
        <f t="shared" si="8"/>
        <v>17000000</v>
      </c>
      <c r="F46" s="17">
        <f t="shared" si="8"/>
        <v>10210000</v>
      </c>
      <c r="G46" s="17">
        <f t="shared" si="8"/>
        <v>500000</v>
      </c>
      <c r="H46" s="17">
        <f t="shared" si="8"/>
        <v>13175443</v>
      </c>
    </row>
    <row r="47" spans="1:8">
      <c r="A47" s="10"/>
      <c r="B47" s="16" t="s">
        <v>138</v>
      </c>
      <c r="C47" s="17">
        <f>SUM(C31-C46)</f>
        <v>46114557</v>
      </c>
      <c r="D47" s="17">
        <f t="shared" ref="D47:H47" si="9">SUM(D31-D46)</f>
        <v>5400000</v>
      </c>
      <c r="E47" s="17">
        <f t="shared" si="9"/>
        <v>7000000</v>
      </c>
      <c r="F47" s="17">
        <f t="shared" si="9"/>
        <v>23390000</v>
      </c>
      <c r="G47" s="17">
        <f t="shared" si="9"/>
        <v>4300000</v>
      </c>
      <c r="H47" s="17">
        <f t="shared" si="9"/>
        <v>6024557</v>
      </c>
    </row>
    <row r="48" spans="1:8">
      <c r="B48" s="28"/>
      <c r="C48" s="28"/>
      <c r="D48" s="28"/>
      <c r="E48" s="28"/>
      <c r="F48" s="28"/>
      <c r="G48" s="28"/>
      <c r="H48" s="28"/>
    </row>
    <row r="49" spans="4:7">
      <c r="G49" t="s">
        <v>139</v>
      </c>
    </row>
    <row r="51" spans="4:7">
      <c r="G51" t="s">
        <v>56</v>
      </c>
    </row>
    <row r="52" spans="4:7">
      <c r="D52" t="s">
        <v>57</v>
      </c>
      <c r="G52" t="s">
        <v>58</v>
      </c>
    </row>
    <row r="55" spans="4:7">
      <c r="D55" s="29"/>
    </row>
    <row r="56" spans="4:7">
      <c r="D56" s="29" t="s">
        <v>59</v>
      </c>
      <c r="G56" t="s">
        <v>60</v>
      </c>
    </row>
  </sheetData>
  <mergeCells count="6">
    <mergeCell ref="A1:H1"/>
    <mergeCell ref="A9:A10"/>
    <mergeCell ref="A29:A30"/>
    <mergeCell ref="B9:B10"/>
    <mergeCell ref="B29:B30"/>
    <mergeCell ref="C29:C3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koin ranting</vt:lpstr>
      <vt:lpstr>rinci</vt:lpstr>
      <vt:lpstr>masuk-keluar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Syihab Ahmad</cp:lastModifiedBy>
  <dcterms:created xsi:type="dcterms:W3CDTF">2026-02-11T11:07:00Z</dcterms:created>
  <dcterms:modified xsi:type="dcterms:W3CDTF">2026-04-22T08:17:13Z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8C6ADD5143D383149921E8693C03320D_42</vt:lpwstr>
  </property>
  <property fmtid="{D5CDD505-2E9C-101B-9397-08002B2CF9AE}" pid="3" name="KSOProductBuildVer">
    <vt:lpwstr>1033-12.1.25852.25852</vt:lpwstr>
  </property>
  <property fmtid="{D5CDD505-2E9C-101B-9397-08002B2CF9AE}" pid="4" name="CalculationRule">
    <vt:i4>0</vt:i4>
  </property>
</Properties>
</file>