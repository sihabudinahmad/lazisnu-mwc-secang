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<sst xmlns="http://schemas.openxmlformats.org/spreadsheetml/2006/main" count="26">
  <si>
    <t>NO</t>
  </si>
  <si>
    <t>URAIAN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</si>
  <si>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</si>
  <si>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</si>
  <si>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</si>
  <si>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</si>
  <si>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</si>
  <si>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</si>
  <si>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</si>
  <si>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</si>
  <si>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</si>
  <si>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</si>
  <si>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</si>
  <si>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</si>
  <si>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</si>
  <si>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A1</t>
  </si>
  <si>
    <t>A2</t>
  </si>
  <si>
    <t>PEMASUKAN</t>
  </si>
  <si>
    <t>SALDO AWAL</t>
  </si>
  <si>
    <t>PENGELUARAN</t>
  </si>
  <si>
    <t>4 Seragam</t>
  </si>
  <si>
    <t>Uang Makan Driver</t>
  </si>
  <si>
    <t>BBM dll</t>
  </si>
  <si>
    <t xml:space="preserve">Pengeluaran </t>
  </si>
  <si>
    <t>TOTAL PENGELUARAN</t>
  </si>
  <si>
    <t>SALDO AKHIR</t>
  </si>
</sst>
</file>

<file path=xl/styles.xml><?xml version="1.0" encoding="utf-8"?>
<styleSheet xmlns="http://schemas.openxmlformats.org/spreadsheetml/2006/main">
  <numFmts count="5">
    <numFmt numFmtId="176" formatCode="_-[$Rp-3809]* #,##0_-;\-[$Rp-3809]* #,##0_-;_-[$Rp-3809]* &quot;-&quot;??_-;_-@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</numFmts>
  <fonts count="25">
    <font>
      <sz val="11"/>
      <color rgb="FF000000"/>
      <name val="Arial"/>
      <charset val="134"/>
      <scheme val="minor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sz val="11"/>
      <name val="Arial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1"/>
      <color rgb="FFFFFFFF"/>
      <name val="Arial"/>
      <charset val="0"/>
      <scheme val="minor"/>
    </font>
    <font>
      <u/>
      <sz val="11"/>
      <color rgb="FF0000FF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b/>
      <sz val="11"/>
      <color theme="1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9C6500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2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4" fillId="9" borderId="11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5" fillId="7" borderId="8" applyNumberFormat="0" applyFont="0" applyAlignment="0" applyProtection="0">
      <alignment vertical="center"/>
    </xf>
    <xf numFmtId="0" fontId="12" fillId="8" borderId="9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8" fillId="4" borderId="6" applyNumberForma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1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4" fillId="0" borderId="5" xfId="0" applyFont="1" applyBorder="1"/>
    <xf numFmtId="176" fontId="4" fillId="0" borderId="5" xfId="0" applyNumberFormat="1" applyFont="1" applyBorder="1" applyAlignment="1"/>
    <xf numFmtId="176" fontId="4" fillId="0" borderId="5" xfId="0" applyNumberFormat="1" applyFont="1" applyBorder="1"/>
    <xf numFmtId="0" fontId="4" fillId="0" borderId="5" xfId="0" applyFont="1" applyBorder="1" applyAlignment="1"/>
    <xf numFmtId="176" fontId="2" fillId="0" borderId="5" xfId="0" applyNumberFormat="1" applyFont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A996"/>
  <sheetViews>
    <sheetView tabSelected="1" workbookViewId="0">
      <pane xSplit="2" ySplit="4" topLeftCell="P5" activePane="bottomRight" state="frozen"/>
      <selection/>
      <selection pane="topRight"/>
      <selection pane="bottomLeft"/>
      <selection pane="bottomRight" activeCell="Q9" sqref="Q9"/>
    </sheetView>
  </sheetViews>
  <sheetFormatPr defaultColWidth="12.6328125" defaultRowHeight="15" customHeight="1"/>
  <cols>
    <col min="1" max="1" width="4.6328125" customWidth="1"/>
    <col min="2" max="2" width="16.25" customWidth="1"/>
    <col min="3" max="3" width="13.75" customWidth="1"/>
    <col min="4" max="4" width="15" customWidth="1"/>
    <col min="5" max="5" width="14.6328125" customWidth="1"/>
    <col min="6" max="6" width="12.1328125" customWidth="1"/>
    <col min="7" max="7" width="14.6328125" customWidth="1"/>
    <col min="8" max="8" width="12.25" customWidth="1"/>
    <col min="10" max="10" width="13.75" customWidth="1"/>
    <col min="11" max="11" width="13.3828125" customWidth="1"/>
    <col min="12" max="12" width="12.3828125" customWidth="1"/>
    <col min="13" max="13" width="13.3828125" customWidth="1"/>
    <col min="14" max="14" width="14.1328125" customWidth="1"/>
    <col min="15" max="15" width="14" customWidth="1"/>
    <col min="16" max="16" width="14.6328125" customWidth="1"/>
    <col min="17" max="17" width="15.1015625" customWidth="1"/>
    <col min="18" max="18" width="17.703125" customWidth="1"/>
    <col min="19" max="19" width="11.8828125" customWidth="1"/>
    <col min="20" max="20" width="14.3203125" customWidth="1"/>
    <col min="21" max="21" width="12.75" customWidth="1"/>
    <col min="22" max="22" width="12.8828125" customWidth="1"/>
    <col min="23" max="23" width="11.9765625" customWidth="1"/>
    <col min="24" max="24" width="16.015625" customWidth="1"/>
    <col min="25" max="25" width="13.5390625" customWidth="1"/>
    <col min="26" max="26" width="14.3203125" customWidth="1"/>
    <col min="27" max="27" width="14.6328125" customWidth="1"/>
  </cols>
  <sheetData>
    <row r="1" ht="15.2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0"/>
      <c r="W1" s="1"/>
      <c r="X1" s="1"/>
      <c r="Y1" s="1"/>
      <c r="Z1" s="1"/>
    </row>
    <row r="3" ht="14" spans="1:27">
      <c r="A3" s="2" t="s">
        <v>0</v>
      </c>
      <c r="B3" s="2" t="s">
        <v>1</v>
      </c>
      <c r="C3" s="3" t="s">
        <v>2</v>
      </c>
      <c r="D3" s="4"/>
      <c r="E3" s="3" t="s">
        <v>3</v>
      </c>
      <c r="F3" s="4"/>
      <c r="G3" s="3" t="s">
        <v>4</v>
      </c>
      <c r="H3" s="4"/>
      <c r="I3" s="3" t="s">
        <v>5</v>
      </c>
      <c r="J3" s="4"/>
      <c r="K3" s="3" t="s">
        <v>6</v>
      </c>
      <c r="L3" s="4"/>
      <c r="M3" s="3" t="s">
        <v>7</v>
      </c>
      <c r="N3" s="4"/>
      <c r="O3" s="3" t="s">
        <v>8</v>
      </c>
      <c r="P3" s="4"/>
      <c r="Q3" s="3" t="s">
        <v>9</v>
      </c>
      <c r="R3" s="4"/>
      <c r="S3" s="3" t="s">
        <v>10</v>
      </c>
      <c r="T3" s="4"/>
      <c r="U3" s="3" t="s">
        <v>11</v>
      </c>
      <c r="V3" s="4"/>
      <c r="W3" s="3" t="s">
        <v>12</v>
      </c>
      <c r="X3" s="4"/>
      <c r="Y3" s="3" t="s">
        <v>13</v>
      </c>
      <c r="Z3" s="4"/>
      <c r="AA3" s="6" t="s">
        <v>14</v>
      </c>
    </row>
    <row r="4" ht="14" spans="1:27">
      <c r="A4" s="5"/>
      <c r="B4" s="5"/>
      <c r="C4" s="6" t="s">
        <v>15</v>
      </c>
      <c r="D4" s="6" t="s">
        <v>16</v>
      </c>
      <c r="E4" s="6" t="s">
        <v>15</v>
      </c>
      <c r="F4" s="6" t="s">
        <v>16</v>
      </c>
      <c r="G4" s="6" t="s">
        <v>15</v>
      </c>
      <c r="H4" s="6" t="s">
        <v>16</v>
      </c>
      <c r="I4" s="6" t="s">
        <v>15</v>
      </c>
      <c r="J4" s="6" t="s">
        <v>16</v>
      </c>
      <c r="K4" s="6" t="s">
        <v>15</v>
      </c>
      <c r="L4" s="6" t="s">
        <v>16</v>
      </c>
      <c r="M4" s="6" t="s">
        <v>15</v>
      </c>
      <c r="N4" s="6" t="s">
        <v>16</v>
      </c>
      <c r="O4" s="6" t="s">
        <v>15</v>
      </c>
      <c r="P4" s="6" t="s">
        <v>16</v>
      </c>
      <c r="Q4" s="6" t="s">
        <v>15</v>
      </c>
      <c r="R4" s="6" t="s">
        <v>16</v>
      </c>
      <c r="S4" s="6" t="s">
        <v>15</v>
      </c>
      <c r="T4" s="6" t="s">
        <v>16</v>
      </c>
      <c r="U4" s="6" t="s">
        <v>15</v>
      </c>
      <c r="V4" s="6" t="s">
        <v>16</v>
      </c>
      <c r="W4" s="6" t="s">
        <v>15</v>
      </c>
      <c r="X4" s="6" t="s">
        <v>16</v>
      </c>
      <c r="Y4" s="6" t="s">
        <v>15</v>
      </c>
      <c r="Z4" s="6" t="s">
        <v>16</v>
      </c>
      <c r="AA4" s="8"/>
    </row>
    <row r="5" ht="14" spans="1:27">
      <c r="A5" s="7"/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8"/>
    </row>
    <row r="6" ht="14" spans="1:27">
      <c r="A6" s="7">
        <v>1</v>
      </c>
      <c r="B6" s="7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4" spans="1:27">
      <c r="A7" s="8"/>
      <c r="B7" s="8" t="s">
        <v>18</v>
      </c>
      <c r="C7" s="9">
        <v>5000000</v>
      </c>
      <c r="D7" s="10"/>
      <c r="E7" s="9">
        <v>5000000</v>
      </c>
      <c r="F7" s="10"/>
      <c r="G7" s="9">
        <v>5000000</v>
      </c>
      <c r="H7" s="10"/>
      <c r="I7" s="9">
        <v>5000000</v>
      </c>
      <c r="J7" s="10"/>
      <c r="K7" s="9">
        <v>5000000</v>
      </c>
      <c r="L7" s="10"/>
      <c r="M7" s="9">
        <v>5000000</v>
      </c>
      <c r="N7" s="10"/>
      <c r="O7" s="9">
        <v>5000000</v>
      </c>
      <c r="P7" s="10"/>
      <c r="Q7" s="9">
        <v>5000000</v>
      </c>
      <c r="R7" s="10"/>
      <c r="S7" s="9">
        <v>5000000</v>
      </c>
      <c r="T7" s="10"/>
      <c r="U7" s="9">
        <v>5000000</v>
      </c>
      <c r="V7" s="10"/>
      <c r="W7" s="9">
        <v>5000000</v>
      </c>
      <c r="X7" s="10"/>
      <c r="Y7" s="9">
        <v>5000000</v>
      </c>
      <c r="Z7" s="10"/>
      <c r="AA7" s="10">
        <f>SUM(C7:Z7)</f>
        <v>60000000</v>
      </c>
    </row>
    <row r="8" ht="14" spans="1:27">
      <c r="A8" s="8"/>
      <c r="B8" s="8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8"/>
    </row>
    <row r="9" ht="14" spans="1:27">
      <c r="A9" s="7">
        <v>2</v>
      </c>
      <c r="B9" s="7" t="s">
        <v>19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9" t="s">
        <v>20</v>
      </c>
      <c r="R9" s="9">
        <v>680000</v>
      </c>
      <c r="S9" s="9"/>
      <c r="T9" s="10"/>
      <c r="U9" s="10"/>
      <c r="V9" s="10"/>
      <c r="W9" s="10"/>
      <c r="X9" s="10"/>
      <c r="Y9" s="10"/>
      <c r="Z9" s="10"/>
      <c r="AA9" s="10">
        <f t="shared" ref="AA9:AA13" si="0">SUM(C9:Z9)</f>
        <v>680000</v>
      </c>
    </row>
    <row r="10" ht="14" spans="1:27">
      <c r="A10" s="8"/>
      <c r="B10" s="11" t="s">
        <v>21</v>
      </c>
      <c r="C10" s="9">
        <v>1978000</v>
      </c>
      <c r="D10" s="9">
        <v>2120000</v>
      </c>
      <c r="E10" s="9">
        <v>1180000</v>
      </c>
      <c r="F10" s="9">
        <v>1605000</v>
      </c>
      <c r="G10" s="9">
        <v>1135000</v>
      </c>
      <c r="H10" s="9">
        <v>1700000</v>
      </c>
      <c r="I10" s="9">
        <v>1860000</v>
      </c>
      <c r="J10" s="9">
        <v>1640000</v>
      </c>
      <c r="K10" s="9">
        <v>1280000</v>
      </c>
      <c r="L10" s="9">
        <v>1450000</v>
      </c>
      <c r="M10" s="9">
        <v>1080000</v>
      </c>
      <c r="N10" s="9">
        <v>1400000</v>
      </c>
      <c r="O10" s="9">
        <v>905000</v>
      </c>
      <c r="P10" s="9">
        <v>1435000</v>
      </c>
      <c r="Q10" s="9">
        <v>550000</v>
      </c>
      <c r="R10" s="9">
        <v>1610000</v>
      </c>
      <c r="S10" s="9">
        <v>300000</v>
      </c>
      <c r="T10" s="9">
        <v>1700000</v>
      </c>
      <c r="U10" s="9">
        <v>1400000</v>
      </c>
      <c r="V10" s="9">
        <v>1860000</v>
      </c>
      <c r="W10" s="9">
        <v>705000</v>
      </c>
      <c r="X10" s="9">
        <v>965000</v>
      </c>
      <c r="Y10" s="9">
        <v>1660000</v>
      </c>
      <c r="Z10" s="9">
        <v>1455000</v>
      </c>
      <c r="AA10" s="10">
        <f t="shared" si="0"/>
        <v>32973000</v>
      </c>
    </row>
    <row r="11" ht="14" spans="1:27">
      <c r="A11" s="8"/>
      <c r="B11" s="11" t="s">
        <v>22</v>
      </c>
      <c r="C11" s="9">
        <v>1861000</v>
      </c>
      <c r="D11" s="9">
        <v>1900000</v>
      </c>
      <c r="E11" s="9">
        <v>1543000</v>
      </c>
      <c r="F11" s="9">
        <v>2186000</v>
      </c>
      <c r="G11" s="9">
        <v>1432000</v>
      </c>
      <c r="H11" s="9">
        <v>2988000</v>
      </c>
      <c r="I11" s="9">
        <v>1861000</v>
      </c>
      <c r="J11" s="9">
        <v>1128000</v>
      </c>
      <c r="K11" s="9">
        <v>1770000</v>
      </c>
      <c r="L11" s="9">
        <v>1593000</v>
      </c>
      <c r="M11" s="9">
        <v>1736000</v>
      </c>
      <c r="N11" s="9">
        <v>1445000</v>
      </c>
      <c r="O11" s="9">
        <v>1007000</v>
      </c>
      <c r="P11" s="9">
        <v>1385000</v>
      </c>
      <c r="Q11" s="9">
        <v>1736000</v>
      </c>
      <c r="R11" s="9">
        <v>1957000</v>
      </c>
      <c r="S11" s="9">
        <v>210000</v>
      </c>
      <c r="T11" s="9">
        <v>1705000</v>
      </c>
      <c r="U11" s="9">
        <v>1577000</v>
      </c>
      <c r="V11" s="9">
        <v>2097000</v>
      </c>
      <c r="W11" s="9">
        <v>1063000</v>
      </c>
      <c r="X11" s="9">
        <v>1056000</v>
      </c>
      <c r="Y11" s="9">
        <v>2150000</v>
      </c>
      <c r="Z11" s="9">
        <v>2024000</v>
      </c>
      <c r="AA11" s="10">
        <f t="shared" si="0"/>
        <v>39410000</v>
      </c>
    </row>
    <row r="12" ht="14" spans="1:27">
      <c r="A12" s="8"/>
      <c r="B12" s="11" t="s">
        <v>23</v>
      </c>
      <c r="C12" s="10">
        <f t="shared" ref="C12:Q12" si="1">SUM(C10:C11)</f>
        <v>3839000</v>
      </c>
      <c r="D12" s="10">
        <f t="shared" si="1"/>
        <v>4020000</v>
      </c>
      <c r="E12" s="10">
        <f t="shared" si="1"/>
        <v>2723000</v>
      </c>
      <c r="F12" s="10">
        <f t="shared" si="1"/>
        <v>3791000</v>
      </c>
      <c r="G12" s="10">
        <f t="shared" si="1"/>
        <v>2567000</v>
      </c>
      <c r="H12" s="10">
        <f t="shared" si="1"/>
        <v>4688000</v>
      </c>
      <c r="I12" s="10">
        <f t="shared" si="1"/>
        <v>3721000</v>
      </c>
      <c r="J12" s="10">
        <f t="shared" si="1"/>
        <v>2768000</v>
      </c>
      <c r="K12" s="10">
        <f t="shared" si="1"/>
        <v>3050000</v>
      </c>
      <c r="L12" s="10">
        <f t="shared" si="1"/>
        <v>3043000</v>
      </c>
      <c r="M12" s="10">
        <f t="shared" si="1"/>
        <v>2816000</v>
      </c>
      <c r="N12" s="10">
        <f t="shared" si="1"/>
        <v>2845000</v>
      </c>
      <c r="O12" s="10">
        <f t="shared" si="1"/>
        <v>1912000</v>
      </c>
      <c r="P12" s="10">
        <f t="shared" si="1"/>
        <v>2820000</v>
      </c>
      <c r="Q12" s="10">
        <f t="shared" si="1"/>
        <v>2286000</v>
      </c>
      <c r="R12" s="10">
        <f>SUM(R9:R11)</f>
        <v>4247000</v>
      </c>
      <c r="S12" s="10">
        <f t="shared" ref="S12:Z12" si="2">SUM(S10:S11)</f>
        <v>510000</v>
      </c>
      <c r="T12" s="10">
        <f t="shared" si="2"/>
        <v>3405000</v>
      </c>
      <c r="U12" s="10">
        <f t="shared" si="2"/>
        <v>2977000</v>
      </c>
      <c r="V12" s="10">
        <f t="shared" si="2"/>
        <v>3957000</v>
      </c>
      <c r="W12" s="10">
        <f t="shared" si="2"/>
        <v>1768000</v>
      </c>
      <c r="X12" s="10">
        <f t="shared" si="2"/>
        <v>2021000</v>
      </c>
      <c r="Y12" s="10">
        <f t="shared" si="2"/>
        <v>3810000</v>
      </c>
      <c r="Z12" s="10">
        <f t="shared" si="2"/>
        <v>3479000</v>
      </c>
      <c r="AA12" s="10">
        <f t="shared" si="0"/>
        <v>73063000</v>
      </c>
    </row>
    <row r="13" ht="14" spans="1:27">
      <c r="A13" s="8"/>
      <c r="B13" s="8" t="s">
        <v>24</v>
      </c>
      <c r="C13" s="10"/>
      <c r="D13" s="10">
        <f>SUM(C12:D12)</f>
        <v>7859000</v>
      </c>
      <c r="E13" s="10"/>
      <c r="F13" s="10">
        <f>SUM(E12:F12)</f>
        <v>6514000</v>
      </c>
      <c r="G13" s="10"/>
      <c r="H13" s="10">
        <f>SUM(G12:H12)</f>
        <v>7255000</v>
      </c>
      <c r="I13" s="10"/>
      <c r="J13" s="10">
        <f>SUM(I12:J12)</f>
        <v>6489000</v>
      </c>
      <c r="K13" s="10"/>
      <c r="L13" s="10">
        <f>SUM(K12:L12)</f>
        <v>6093000</v>
      </c>
      <c r="M13" s="10"/>
      <c r="N13" s="10">
        <f>SUM(M12:N12)</f>
        <v>5661000</v>
      </c>
      <c r="O13" s="10"/>
      <c r="P13" s="10">
        <f>SUM(O12:P12)</f>
        <v>4732000</v>
      </c>
      <c r="Q13" s="10"/>
      <c r="R13" s="10">
        <f>SUM(Q12:R12)</f>
        <v>6533000</v>
      </c>
      <c r="S13" s="10"/>
      <c r="T13" s="10">
        <f>SUM(S12:T12)</f>
        <v>3915000</v>
      </c>
      <c r="U13" s="10"/>
      <c r="V13" s="10">
        <f>SUM(U12:V12)</f>
        <v>6934000</v>
      </c>
      <c r="W13" s="10"/>
      <c r="X13" s="10">
        <f>SUM(W12:X12)</f>
        <v>3789000</v>
      </c>
      <c r="Y13" s="10"/>
      <c r="Z13" s="10">
        <f>SUM(Y12:Z12)</f>
        <v>7289000</v>
      </c>
      <c r="AA13" s="10">
        <f t="shared" si="0"/>
        <v>73063000</v>
      </c>
    </row>
    <row r="14" ht="14" spans="1:27">
      <c r="A14" s="8"/>
      <c r="B14" s="8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8"/>
    </row>
    <row r="15" ht="14" spans="1:27">
      <c r="A15" s="8"/>
      <c r="B15" s="7" t="s">
        <v>25</v>
      </c>
      <c r="C15" s="12"/>
      <c r="D15" s="12">
        <f>SUM(C7-D13)</f>
        <v>-2859000</v>
      </c>
      <c r="E15" s="12"/>
      <c r="F15" s="12">
        <f>SUM(E7-F13)</f>
        <v>-1514000</v>
      </c>
      <c r="G15" s="12"/>
      <c r="H15" s="12">
        <f>SUM(G7-H13)</f>
        <v>-2255000</v>
      </c>
      <c r="I15" s="12"/>
      <c r="J15" s="12">
        <f>SUM(I7-J13)</f>
        <v>-1489000</v>
      </c>
      <c r="K15" s="12"/>
      <c r="L15" s="12">
        <f>SUM(K7-L13)</f>
        <v>-1093000</v>
      </c>
      <c r="M15" s="12"/>
      <c r="N15" s="12">
        <f>SUM(M7-N13)</f>
        <v>-661000</v>
      </c>
      <c r="O15" s="12"/>
      <c r="P15" s="12">
        <f>SUM(O7-P13)</f>
        <v>268000</v>
      </c>
      <c r="Q15" s="12"/>
      <c r="R15" s="12">
        <f>SUM(Q7-R13)</f>
        <v>-1533000</v>
      </c>
      <c r="S15" s="12"/>
      <c r="T15" s="12">
        <f>SUM(S7-T13)</f>
        <v>1085000</v>
      </c>
      <c r="U15" s="12"/>
      <c r="V15" s="12">
        <f>SUM(U7-V13)</f>
        <v>-1934000</v>
      </c>
      <c r="W15" s="12"/>
      <c r="X15" s="12">
        <f>SUM(W7-X13)</f>
        <v>1211000</v>
      </c>
      <c r="Y15" s="12"/>
      <c r="Z15" s="12">
        <f>SUM(Y7-Z13)</f>
        <v>-2289000</v>
      </c>
      <c r="AA15" s="10">
        <f>SUM(C15:Z15)</f>
        <v>-13063000</v>
      </c>
    </row>
    <row r="16" ht="15.75" customHeight="1"/>
    <row r="17" ht="15.75" customHeight="1" spans="27:27">
      <c r="AA17" s="10">
        <f>SUM(AA9:AA11)</f>
        <v>73063000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4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3:A4"/>
    <mergeCell ref="B3:B4"/>
  </mergeCells>
  <pageMargins left="0.699305555555556" right="0.699305555555556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2023-08-27T18:46:00Z</dcterms:created>
  <dcterms:modified xsi:type="dcterms:W3CDTF">2026-01-04T10:07:40Z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1033-3.1.1.5096</vt:lpwstr>
  </property>
</Properties>
</file>